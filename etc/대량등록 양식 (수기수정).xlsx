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권은혜\Documents\하이웍스 받은파일\"/>
    </mc:Choice>
  </mc:AlternateContent>
  <xr:revisionPtr revIDLastSave="0" documentId="13_ncr:1_{FE245A99-5EA5-44DE-807F-AD8DDA5E67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정발행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06" i="1" l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4" i="1"/>
</calcChain>
</file>

<file path=xl/sharedStrings.xml><?xml version="1.0" encoding="utf-8"?>
<sst xmlns="http://schemas.openxmlformats.org/spreadsheetml/2006/main" count="2979" uniqueCount="1709">
  <si>
    <t>1. 정발행 대량 등록 양식</t>
    <phoneticPr fontId="2" type="noConversion"/>
  </si>
  <si>
    <t>과세타입</t>
    <phoneticPr fontId="2" type="noConversion"/>
  </si>
  <si>
    <t>사업자구분</t>
    <phoneticPr fontId="2" type="noConversion"/>
  </si>
  <si>
    <t>영수/청구</t>
    <phoneticPr fontId="2" type="noConversion"/>
  </si>
  <si>
    <t>작성일자
(YYYYMMDD)</t>
    <phoneticPr fontId="2" type="noConversion"/>
  </si>
  <si>
    <t xml:space="preserve">공급받는자 정보 </t>
    <phoneticPr fontId="2" type="noConversion"/>
  </si>
  <si>
    <t>품목 정보</t>
    <phoneticPr fontId="2" type="noConversion"/>
  </si>
  <si>
    <t>품목일자1
(YYYYMMDD)</t>
    <phoneticPr fontId="2" type="noConversion"/>
  </si>
  <si>
    <t>품목일자2
(YYYYMMDD)</t>
    <phoneticPr fontId="2" type="noConversion"/>
  </si>
  <si>
    <t>품목일자3
(YYYYMMDD)</t>
    <phoneticPr fontId="2" type="noConversion"/>
  </si>
  <si>
    <t>품목일자4
(YYYYMMDD)</t>
    <phoneticPr fontId="2" type="noConversion"/>
  </si>
  <si>
    <t>총 공급가액
(길이:18)</t>
    <phoneticPr fontId="2" type="noConversion"/>
  </si>
  <si>
    <t>총 세액
(길이:18)</t>
    <phoneticPr fontId="2" type="noConversion"/>
  </si>
  <si>
    <t>총 합계액
(길이:20)</t>
    <phoneticPr fontId="2" type="noConversion"/>
  </si>
  <si>
    <t>공급받는자
등록번호
(길이:10)</t>
    <phoneticPr fontId="2" type="noConversion"/>
  </si>
  <si>
    <t>공급받는자
종사업장번호
(길이:4)</t>
    <phoneticPr fontId="2" type="noConversion"/>
  </si>
  <si>
    <t>상호
(길이:200)</t>
    <phoneticPr fontId="2" type="noConversion"/>
  </si>
  <si>
    <t>대표자명
(길이:100)</t>
    <phoneticPr fontId="2" type="noConversion"/>
  </si>
  <si>
    <t>주소
(길이:255)</t>
    <phoneticPr fontId="2" type="noConversion"/>
  </si>
  <si>
    <t>업태
(길이:100)</t>
    <phoneticPr fontId="2" type="noConversion"/>
  </si>
  <si>
    <t>종목
(길이:100)</t>
    <phoneticPr fontId="2" type="noConversion"/>
  </si>
  <si>
    <t>담당자명1
(길이:100)</t>
    <phoneticPr fontId="2" type="noConversion"/>
  </si>
  <si>
    <t>이메일1
(길이:100)</t>
    <phoneticPr fontId="2" type="noConversion"/>
  </si>
  <si>
    <t>연락처1
(길이:13)</t>
    <phoneticPr fontId="2" type="noConversion"/>
  </si>
  <si>
    <t>휴대폰1
(길이:13)</t>
    <phoneticPr fontId="2" type="noConversion"/>
  </si>
  <si>
    <t>담당자명2
(길이:100)</t>
    <phoneticPr fontId="2" type="noConversion"/>
  </si>
  <si>
    <t>이메일2
(길이:100)</t>
    <phoneticPr fontId="2" type="noConversion"/>
  </si>
  <si>
    <t>연락처2
(길이:13)</t>
    <phoneticPr fontId="2" type="noConversion"/>
  </si>
  <si>
    <t>휴대폰2
(길이:13)</t>
    <phoneticPr fontId="2" type="noConversion"/>
  </si>
  <si>
    <t>품목명1
(길이:100)</t>
    <phoneticPr fontId="2" type="noConversion"/>
  </si>
  <si>
    <t>규격1
(길이:40)</t>
    <phoneticPr fontId="2" type="noConversion"/>
  </si>
  <si>
    <t>수량1
(길이:12)</t>
    <phoneticPr fontId="2" type="noConversion"/>
  </si>
  <si>
    <t>단가1
(길이:15)</t>
    <phoneticPr fontId="2" type="noConversion"/>
  </si>
  <si>
    <t>공급가액1
(길이:15)</t>
    <phoneticPr fontId="2" type="noConversion"/>
  </si>
  <si>
    <t>세액1
(길이:15)</t>
    <phoneticPr fontId="2" type="noConversion"/>
  </si>
  <si>
    <t>비고1
(길이:100)</t>
    <phoneticPr fontId="2" type="noConversion"/>
  </si>
  <si>
    <t>품목명2
(길이:100)</t>
    <phoneticPr fontId="2" type="noConversion"/>
  </si>
  <si>
    <t>규격2
(길이:40)</t>
    <phoneticPr fontId="2" type="noConversion"/>
  </si>
  <si>
    <t>수량2
(길이:12)</t>
    <phoneticPr fontId="2" type="noConversion"/>
  </si>
  <si>
    <t>단가2
(길이:15)</t>
    <phoneticPr fontId="2" type="noConversion"/>
  </si>
  <si>
    <t>공급가액2
(길이:15)</t>
    <phoneticPr fontId="2" type="noConversion"/>
  </si>
  <si>
    <t>세액2
(길이:15)</t>
    <phoneticPr fontId="2" type="noConversion"/>
  </si>
  <si>
    <t>비고2
(길이:100)</t>
    <phoneticPr fontId="2" type="noConversion"/>
  </si>
  <si>
    <t>품목명3
(길이:100)</t>
    <phoneticPr fontId="2" type="noConversion"/>
  </si>
  <si>
    <t>규격3
(길이:40)</t>
    <phoneticPr fontId="2" type="noConversion"/>
  </si>
  <si>
    <t>수량3
(길이:12)</t>
    <phoneticPr fontId="2" type="noConversion"/>
  </si>
  <si>
    <t>단가3
(길이:15)</t>
    <phoneticPr fontId="2" type="noConversion"/>
  </si>
  <si>
    <t>공급가액3
(길이:15)</t>
    <phoneticPr fontId="2" type="noConversion"/>
  </si>
  <si>
    <t>세액3
(길이:15)</t>
    <phoneticPr fontId="2" type="noConversion"/>
  </si>
  <si>
    <t>비고3
(길이:100)</t>
    <phoneticPr fontId="2" type="noConversion"/>
  </si>
  <si>
    <t>품목명4
(길이:100)</t>
    <phoneticPr fontId="2" type="noConversion"/>
  </si>
  <si>
    <t>규격4
(길이:40)</t>
    <phoneticPr fontId="2" type="noConversion"/>
  </si>
  <si>
    <t>수량4
(길이:12)</t>
    <phoneticPr fontId="2" type="noConversion"/>
  </si>
  <si>
    <t>단가4
(길이:15)</t>
    <phoneticPr fontId="2" type="noConversion"/>
  </si>
  <si>
    <t>공급가액4
(길이:15)</t>
    <phoneticPr fontId="2" type="noConversion"/>
  </si>
  <si>
    <t>세액4
(길이:15)</t>
    <phoneticPr fontId="2" type="noConversion"/>
  </si>
  <si>
    <t>비고4
(길이:100)</t>
    <phoneticPr fontId="2" type="noConversion"/>
  </si>
  <si>
    <t>현금
(길이:15)</t>
    <phoneticPr fontId="2" type="noConversion"/>
  </si>
  <si>
    <t>수표
(길이:15)</t>
    <phoneticPr fontId="2" type="noConversion"/>
  </si>
  <si>
    <t>어음
(길이:15)</t>
    <phoneticPr fontId="2" type="noConversion"/>
  </si>
  <si>
    <t>외상미수금
(길이:15)</t>
    <phoneticPr fontId="2" type="noConversion"/>
  </si>
  <si>
    <t>비고
(길이:100)</t>
    <phoneticPr fontId="2" type="noConversion"/>
  </si>
  <si>
    <t>책번호/권
(길이:10)</t>
    <phoneticPr fontId="2" type="noConversion"/>
  </si>
  <si>
    <t>책번호/호
(길이:10)</t>
    <phoneticPr fontId="2" type="noConversion"/>
  </si>
  <si>
    <t>일련번호
(길이:255)</t>
    <phoneticPr fontId="2" type="noConversion"/>
  </si>
  <si>
    <t>과세</t>
  </si>
  <si>
    <t>사업자</t>
  </si>
  <si>
    <t>영수</t>
  </si>
  <si>
    <t>105-87-04559</t>
  </si>
  <si>
    <t>364-85-02461</t>
  </si>
  <si>
    <t>104-81-56993</t>
  </si>
  <si>
    <t>410-86-61310</t>
  </si>
  <si>
    <t>576-86-01271</t>
  </si>
  <si>
    <t>608-82-16068</t>
  </si>
  <si>
    <t>105-86-07340</t>
  </si>
  <si>
    <t>211-88-34068</t>
  </si>
  <si>
    <t>330-88-02979</t>
  </si>
  <si>
    <t>220-81-55597</t>
  </si>
  <si>
    <t>215-87-20424</t>
  </si>
  <si>
    <t>116-81-47522</t>
  </si>
  <si>
    <t>189-87-00508</t>
  </si>
  <si>
    <t>447-95-00506</t>
  </si>
  <si>
    <t>105-86-24669</t>
  </si>
  <si>
    <t>123-81-31687</t>
  </si>
  <si>
    <t>106-81-59507</t>
  </si>
  <si>
    <t>220-87-08489</t>
  </si>
  <si>
    <t>204-81-39066</t>
  </si>
  <si>
    <t>214-86-35780</t>
  </si>
  <si>
    <t>709-88-00895</t>
  </si>
  <si>
    <t>183-88-01447</t>
  </si>
  <si>
    <t>610-81-06488</t>
  </si>
  <si>
    <t>220-85-34227</t>
  </si>
  <si>
    <t>215-87-00748</t>
  </si>
  <si>
    <t>107-20-59310</t>
  </si>
  <si>
    <t>217-08-82718</t>
  </si>
  <si>
    <t>290-88-03175</t>
  </si>
  <si>
    <t>608-82-16388</t>
  </si>
  <si>
    <t>215-87-14349</t>
  </si>
  <si>
    <t>211-86-55017</t>
  </si>
  <si>
    <t>822-98-01648</t>
  </si>
  <si>
    <t>312-81-11675</t>
  </si>
  <si>
    <t>811-88-00465</t>
  </si>
  <si>
    <t>116-81-49632</t>
  </si>
  <si>
    <t>220-81-44028</t>
  </si>
  <si>
    <t>220-81-13433</t>
  </si>
  <si>
    <t>382-81-03460</t>
  </si>
  <si>
    <t>377-16-01410</t>
  </si>
  <si>
    <t>119-86-39405</t>
  </si>
  <si>
    <t>197-88-00675</t>
  </si>
  <si>
    <t>174-87-02576</t>
  </si>
  <si>
    <t>107-81-72629</t>
  </si>
  <si>
    <t>630-88-00911</t>
  </si>
  <si>
    <t>119-81-57446</t>
  </si>
  <si>
    <t>503-81-73506</t>
  </si>
  <si>
    <t>220-81-85223</t>
  </si>
  <si>
    <t>171-58-00910</t>
  </si>
  <si>
    <t>513-81-84733</t>
  </si>
  <si>
    <t>220-87-15414</t>
  </si>
  <si>
    <t>204-82-03338</t>
  </si>
  <si>
    <t>607-81-30283</t>
  </si>
  <si>
    <t>403-81-36216</t>
  </si>
  <si>
    <t>120-88-19397</t>
  </si>
  <si>
    <t>603-85-16365</t>
  </si>
  <si>
    <t>752-85-00428</t>
  </si>
  <si>
    <t>123-86-19510</t>
  </si>
  <si>
    <t>121-81-67137</t>
  </si>
  <si>
    <t>134-82-09654</t>
  </si>
  <si>
    <t>764-81-00063</t>
  </si>
  <si>
    <t>636-88-03065</t>
  </si>
  <si>
    <t>689-88-03564</t>
  </si>
  <si>
    <t>327-85-00275</t>
  </si>
  <si>
    <t>408-81-00315</t>
  </si>
  <si>
    <t>101-81-69067</t>
  </si>
  <si>
    <t>304-82-06732</t>
  </si>
  <si>
    <t>120-86-63282</t>
  </si>
  <si>
    <t>142-81-21079</t>
  </si>
  <si>
    <t>120-87-01134</t>
  </si>
  <si>
    <t>120-81-80404</t>
  </si>
  <si>
    <t>220-81-96318</t>
  </si>
  <si>
    <t>128-86-69844</t>
  </si>
  <si>
    <t>639-81-03217</t>
  </si>
  <si>
    <t>298-88-01055</t>
  </si>
  <si>
    <t>104-86-20035</t>
  </si>
  <si>
    <t>603-81-05574</t>
  </si>
  <si>
    <t>205-81-11756</t>
  </si>
  <si>
    <t>410-82-14783</t>
  </si>
  <si>
    <t>211-86-67906</t>
  </si>
  <si>
    <t>297-81-00073</t>
  </si>
  <si>
    <t>101-81-14655</t>
  </si>
  <si>
    <t>513-82-05507</t>
  </si>
  <si>
    <t>858-88-00260</t>
  </si>
  <si>
    <t>211-88-72005</t>
  </si>
  <si>
    <t>120-81-75240</t>
  </si>
  <si>
    <t>106-86-92739</t>
  </si>
  <si>
    <t>776-85-02820</t>
  </si>
  <si>
    <t>124-87-14913</t>
  </si>
  <si>
    <t>873-88-01216</t>
  </si>
  <si>
    <t>220-81-44106</t>
  </si>
  <si>
    <t>368-44-00711</t>
  </si>
  <si>
    <t>214-88-51159</t>
  </si>
  <si>
    <t>214-87-09862</t>
  </si>
  <si>
    <t>744-81-01957</t>
  </si>
  <si>
    <t>570-90-02134</t>
  </si>
  <si>
    <t>124-86-47343</t>
  </si>
  <si>
    <t>113-86-93191</t>
  </si>
  <si>
    <t>699-85-00132</t>
  </si>
  <si>
    <t>215-86-31088</t>
  </si>
  <si>
    <t>214-81-33375</t>
  </si>
  <si>
    <t>873-82-00549</t>
  </si>
  <si>
    <t>621-81-74763</t>
  </si>
  <si>
    <t>135-86-54558</t>
  </si>
  <si>
    <t>218-81-73248</t>
  </si>
  <si>
    <t>123-81-30413</t>
  </si>
  <si>
    <t>279-81-00833</t>
  </si>
  <si>
    <t>214-86-50122</t>
  </si>
  <si>
    <t>707-87-03434</t>
  </si>
  <si>
    <t>107-86-28962</t>
  </si>
  <si>
    <t>123-86-12633</t>
  </si>
  <si>
    <t>106-03-37747</t>
  </si>
  <si>
    <t>209-81-64070</t>
  </si>
  <si>
    <t>119-86-64471</t>
  </si>
  <si>
    <t>595-85-00145</t>
  </si>
  <si>
    <t>116-81-36457</t>
  </si>
  <si>
    <t>211-81-77812</t>
  </si>
  <si>
    <t>626-86-01033</t>
  </si>
  <si>
    <t>417-81-34309</t>
  </si>
  <si>
    <t>787-21-01076</t>
  </si>
  <si>
    <t>271-27-01888</t>
  </si>
  <si>
    <t>214-86-29288</t>
  </si>
  <si>
    <t>139-81-11459</t>
  </si>
  <si>
    <t>408-81-74331</t>
  </si>
  <si>
    <t>353-85-02442</t>
  </si>
  <si>
    <t>114-81-97235</t>
  </si>
  <si>
    <t>305-81-10789</t>
  </si>
  <si>
    <t>202-81-51462</t>
  </si>
  <si>
    <t>201-86-24458</t>
  </si>
  <si>
    <t>105-86-70936</t>
  </si>
  <si>
    <t>110-81-31395</t>
  </si>
  <si>
    <t>214-90-86331</t>
  </si>
  <si>
    <t>211-81-23354</t>
  </si>
  <si>
    <t>220-81-27086</t>
  </si>
  <si>
    <t>107-81-83126</t>
  </si>
  <si>
    <t>606-86-12763</t>
  </si>
  <si>
    <t>105-81-91713</t>
  </si>
  <si>
    <t>114-87-14634</t>
  </si>
  <si>
    <t>606-82-08994</t>
  </si>
  <si>
    <t>102-81-22920</t>
  </si>
  <si>
    <t>105-86-77661</t>
  </si>
  <si>
    <t>215-81-68334</t>
  </si>
  <si>
    <t>220-87-32198</t>
  </si>
  <si>
    <t>119-87-02695</t>
  </si>
  <si>
    <t>470-87-01378</t>
  </si>
  <si>
    <t>204-81-58684</t>
  </si>
  <si>
    <t>120-81-37455</t>
  </si>
  <si>
    <t>140-90-93036</t>
  </si>
  <si>
    <t>202-85-33803</t>
  </si>
  <si>
    <t>140-81-16376</t>
  </si>
  <si>
    <t>220-88-70563</t>
  </si>
  <si>
    <t>211-96-70598</t>
  </si>
  <si>
    <t>130-86-73360</t>
  </si>
  <si>
    <t>881-81-00785</t>
  </si>
  <si>
    <t>106-81-78464</t>
  </si>
  <si>
    <t>211-85-69950</t>
  </si>
  <si>
    <t>120-82-09126</t>
  </si>
  <si>
    <t>128-22-52832</t>
  </si>
  <si>
    <t>214-88-71117</t>
  </si>
  <si>
    <t>105-81-49044</t>
  </si>
  <si>
    <t>204-86-12266</t>
  </si>
  <si>
    <t>201-84-03236</t>
  </si>
  <si>
    <t>131-91-46986</t>
  </si>
  <si>
    <t>120-87-58506</t>
  </si>
  <si>
    <t>214-86-37959</t>
  </si>
  <si>
    <t>112-81-30484</t>
  </si>
  <si>
    <t>211-87-69124</t>
  </si>
  <si>
    <t>120-87-57638</t>
  </si>
  <si>
    <t>110-81-39572</t>
  </si>
  <si>
    <t>120-86-03343</t>
  </si>
  <si>
    <t>654-87-00832</t>
  </si>
  <si>
    <t>196-88-00027</t>
  </si>
  <si>
    <t>214-88-67030</t>
  </si>
  <si>
    <t>211-81-86441</t>
  </si>
  <si>
    <t>485-22-00222</t>
  </si>
  <si>
    <t>833-81-02732</t>
  </si>
  <si>
    <t>214-88-95176</t>
  </si>
  <si>
    <t>101-81-58430</t>
  </si>
  <si>
    <t>211-86-17162</t>
  </si>
  <si>
    <t>728-87-00069</t>
  </si>
  <si>
    <t>676-86-00723</t>
  </si>
  <si>
    <t>120-81-43980</t>
  </si>
  <si>
    <t>312-91-51282</t>
  </si>
  <si>
    <t>107-86-71101</t>
  </si>
  <si>
    <t>685-87-02528</t>
  </si>
  <si>
    <t>105-86-25784</t>
  </si>
  <si>
    <t>코스택솔루션(주)</t>
  </si>
  <si>
    <t>최기호</t>
  </si>
  <si>
    <t>서울특별시 마포구 동교로25길 23 (동교동, 정암빌딩 4층,402호)</t>
  </si>
  <si>
    <t>도매</t>
  </si>
  <si>
    <t>합성수지 반도체부품 무역</t>
  </si>
  <si>
    <t>임다림</t>
  </si>
  <si>
    <t>02-0000-0000</t>
  </si>
  <si>
    <t>010-9299-0199</t>
  </si>
  <si>
    <t>kostac@kostac.com</t>
  </si>
  <si>
    <t>아이리버</t>
  </si>
  <si>
    <t>여환동</t>
  </si>
  <si>
    <t>서울특별시 서초구 방배로18길 5, 2층 (방배동, 지디어스빌딩)</t>
  </si>
  <si>
    <t>제조업 외</t>
  </si>
  <si>
    <t>라디오,녹음 및 재생 기기 제조업 외</t>
  </si>
  <si>
    <t>강성진</t>
  </si>
  <si>
    <t>010-6663-7600</t>
  </si>
  <si>
    <t>kei@meewang.kr</t>
  </si>
  <si>
    <t>주식회사 한국리얼티데이터</t>
  </si>
  <si>
    <t>한인영</t>
  </si>
  <si>
    <t>서울특별시 마포구 큰우물로 75, 712호 (도화동, 성지빌딩)</t>
  </si>
  <si>
    <t>서비스</t>
  </si>
  <si>
    <t>데이터베이스구축업,정보가공편집업 외</t>
  </si>
  <si>
    <t>02-3487-9993</t>
  </si>
  <si>
    <t>010-5517-5146</t>
  </si>
  <si>
    <t>krdata1234@naver.com</t>
  </si>
  <si>
    <t>주식회사 씨아이에스케미칼</t>
  </si>
  <si>
    <t>이성오</t>
  </si>
  <si>
    <t>광주광역시 광산구 진곡산단중앙로 106, 1층(오선동)</t>
  </si>
  <si>
    <t>전자부품소재용알루미나 외</t>
  </si>
  <si>
    <t>원혜진</t>
  </si>
  <si>
    <t>070-4651-6669</t>
  </si>
  <si>
    <t>010-5415-0974</t>
  </si>
  <si>
    <t>hyejin0974@cischem.co.kr</t>
  </si>
  <si>
    <t>아이티카이로스 주식회사</t>
  </si>
  <si>
    <t>김형대</t>
  </si>
  <si>
    <t>경기도 남양주시 별내면 송산로373번길 18 , 2층</t>
  </si>
  <si>
    <t>출판,영상,방송통신 및 정보서비스업 외</t>
  </si>
  <si>
    <t>컴퓨터시스템 통합 자문 및 구축 서비스업</t>
  </si>
  <si>
    <t>요금담당자</t>
  </si>
  <si>
    <t>010-0000-0000</t>
  </si>
  <si>
    <t>tax@itkairos.com</t>
  </si>
  <si>
    <t>의료법인 시영의료재단 영동병원</t>
  </si>
  <si>
    <t>오형연</t>
  </si>
  <si>
    <t>경상남도 함안군 칠원읍 용산2길 45-13</t>
  </si>
  <si>
    <t>보건업</t>
  </si>
  <si>
    <t>종합병원</t>
  </si>
  <si>
    <t>김수현</t>
  </si>
  <si>
    <t>070-4295-2801</t>
  </si>
  <si>
    <t>yd5862000@naver.com</t>
  </si>
  <si>
    <t>(주)휴머니아</t>
  </si>
  <si>
    <t>서철수</t>
  </si>
  <si>
    <t>서울 마포구 도화동 22번지 창강빌딩 1121호</t>
  </si>
  <si>
    <t>근로자파견업</t>
  </si>
  <si>
    <t>허신영</t>
  </si>
  <si>
    <t>02-710-3451</t>
  </si>
  <si>
    <t>milly1@humania.co.kr</t>
  </si>
  <si>
    <t>주식회사 베이그</t>
  </si>
  <si>
    <t>허지원</t>
  </si>
  <si>
    <t>서울특별시 서초구 방배로 230-1, 2층 (방배동)</t>
  </si>
  <si>
    <t>서비스 외</t>
  </si>
  <si>
    <t>영상물제작 외</t>
  </si>
  <si>
    <t>02-515-3568</t>
  </si>
  <si>
    <t>010-8261-7763</t>
  </si>
  <si>
    <t>veig@veig.tv</t>
  </si>
  <si>
    <t>주식회사 골든타임에듀</t>
  </si>
  <si>
    <t>박서진</t>
  </si>
  <si>
    <t>경기도 성남시 분당구 돌마로 478, 5층 (서현동, 창인프라자)</t>
  </si>
  <si>
    <t>교육서비스업 외</t>
  </si>
  <si>
    <t>교육관련 자문 및 평가업 외</t>
  </si>
  <si>
    <t>031-0000-0000</t>
  </si>
  <si>
    <t>010-3980-4984</t>
  </si>
  <si>
    <t>pareto0308@naver.com</t>
  </si>
  <si>
    <t>(주)케이지이니시스</t>
  </si>
  <si>
    <t>이선재</t>
  </si>
  <si>
    <t>서울특별시 중구 통일로 92, 14-15층 (순화동, 케이지타워)</t>
  </si>
  <si>
    <t>서비스,도소매 외</t>
  </si>
  <si>
    <t>인터넷및컴퓨터운영관련업 외</t>
  </si>
  <si>
    <t>kg09047@kggroup.co.kr</t>
  </si>
  <si>
    <t>주식회사 엔피코어</t>
  </si>
  <si>
    <t>한승철</t>
  </si>
  <si>
    <t>서울특별시 영등포구 당산로 171, 701호(당산동4가, 금강펜테리움 IT타워)</t>
  </si>
  <si>
    <t>정보통신업 제조업</t>
  </si>
  <si>
    <t>소프트웨어개발 및 판매</t>
  </si>
  <si>
    <t>권순영</t>
  </si>
  <si>
    <t>070-7834-8016</t>
  </si>
  <si>
    <t>010-9926-3181</t>
  </si>
  <si>
    <t>ceo@npcore.com</t>
  </si>
  <si>
    <t>(주)나일소프트</t>
  </si>
  <si>
    <t>송영호</t>
  </si>
  <si>
    <t>서울특별시 구로구 디지털로32길 30 (구로동, 코오롱디지털타워빌란트1차 1004호~1006호)</t>
  </si>
  <si>
    <t>소프트웨어개발및전산화업무 외</t>
  </si>
  <si>
    <t>이혜진</t>
  </si>
  <si>
    <t>02-783-0961</t>
  </si>
  <si>
    <t>acct@nilesoft.co.kr</t>
  </si>
  <si>
    <t>주식회사 세종네트웍스</t>
  </si>
  <si>
    <t>김식영</t>
  </si>
  <si>
    <t>경기 김포시 통진읍 율마로384번길 95, 1층 101호</t>
  </si>
  <si>
    <t>건설업 도소매 외</t>
  </si>
  <si>
    <t>정보통신공사업 외</t>
  </si>
  <si>
    <t>이승현님</t>
  </si>
  <si>
    <t>010-9098-5588</t>
  </si>
  <si>
    <t>ywt1996@hanmail.net</t>
  </si>
  <si>
    <t>철원병원</t>
  </si>
  <si>
    <t>김권기외 1명</t>
  </si>
  <si>
    <t>강원도 철원군 갈말읍 명성로 208</t>
  </si>
  <si>
    <t>보건</t>
  </si>
  <si>
    <t>일반병원</t>
  </si>
  <si>
    <t>박영준님</t>
  </si>
  <si>
    <t>010-5471-4764</t>
  </si>
  <si>
    <t>cwh1004@cwhospital.co.kr</t>
  </si>
  <si>
    <t>(주)웨인테크놀로지</t>
  </si>
  <si>
    <t>천성길</t>
  </si>
  <si>
    <t>서울 구로구 구로동 811 코오롱싸이언스밸리2차 1115호</t>
  </si>
  <si>
    <t>서비스. 도소매</t>
  </si>
  <si>
    <t>DB. S/W. 솔루션개발</t>
  </si>
  <si>
    <t>김지연</t>
  </si>
  <si>
    <t>070-7012-2116</t>
  </si>
  <si>
    <t>010-3677-8637</t>
  </si>
  <si>
    <t>wein@wein.co.kr</t>
  </si>
  <si>
    <t>주식회사 쏜다</t>
  </si>
  <si>
    <t>유갑상</t>
  </si>
  <si>
    <t>인천광역시 연수구 송도과학로 32, 엠동 1602호(송도동, 송도테크노파크아이티센터)</t>
  </si>
  <si>
    <t>전기전자기기및전자부품 외</t>
  </si>
  <si>
    <t>서승렬</t>
  </si>
  <si>
    <t>032-850-2631</t>
  </si>
  <si>
    <t>010-3213-4133</t>
  </si>
  <si>
    <t>ssr@istec.co.kr</t>
  </si>
  <si>
    <t>(주)남강하이테크</t>
  </si>
  <si>
    <t>남희정</t>
  </si>
  <si>
    <t>경기도 과천시 과천대로7길 65, b동 14층 1406호,1407호,1408호(갈현동,과천상상자이타워)</t>
  </si>
  <si>
    <t>도매업 제조 외</t>
  </si>
  <si>
    <t>전자부품 외</t>
  </si>
  <si>
    <t>김호영</t>
  </si>
  <si>
    <t>02-6378-3903</t>
  </si>
  <si>
    <t>namkang@namkang.co.kr</t>
  </si>
  <si>
    <t>(주)펜타에이</t>
  </si>
  <si>
    <t>남병수</t>
  </si>
  <si>
    <t>서울특별시 금천구 가산디지털1로 137, 19층 (가산동, IT캐슬2차)</t>
  </si>
  <si>
    <t>전산장비유통 및 유지보수 외</t>
  </si>
  <si>
    <t>서버 전자상거래업 외</t>
  </si>
  <si>
    <t>이진성</t>
  </si>
  <si>
    <t>010-2343-4450</t>
  </si>
  <si>
    <t>pentaa1@naver.com</t>
  </si>
  <si>
    <t>(주)다츠</t>
  </si>
  <si>
    <t>서건</t>
  </si>
  <si>
    <t>서울특별시 서초구 동작대로 228 (방배동)</t>
  </si>
  <si>
    <t>통신업</t>
  </si>
  <si>
    <t>부가통신업</t>
  </si>
  <si>
    <t>원형석</t>
  </si>
  <si>
    <t>02-508-2211</t>
  </si>
  <si>
    <t>tax@dartz.com</t>
  </si>
  <si>
    <t>나라신용정보(주)</t>
  </si>
  <si>
    <t>유진하</t>
  </si>
  <si>
    <t>서울특별시 동작구 사당로 272 (사당동, 삼보빌딩)</t>
  </si>
  <si>
    <t>서비스, 부동산</t>
  </si>
  <si>
    <t>채권추심업, 신용조사업 외</t>
  </si>
  <si>
    <t>박지민 과장님</t>
  </si>
  <si>
    <t>010-2590-6713</t>
  </si>
  <si>
    <t>jmpark@naracredit.com</t>
  </si>
  <si>
    <t>(주)모아랩(MoA Lab Inc.)</t>
  </si>
  <si>
    <t>전용균</t>
  </si>
  <si>
    <t>서울특별시 강남구 언주로113길 7, 4층(논현동, 논현 237)</t>
  </si>
  <si>
    <t>서비스 소매</t>
  </si>
  <si>
    <t>창업,경영컨설팅 및 투자자문 외</t>
  </si>
  <si>
    <t>정남진</t>
  </si>
  <si>
    <t>02-556-2029</t>
  </si>
  <si>
    <t>010-5851-4650</t>
  </si>
  <si>
    <t>sns@bizsquare.co.kr</t>
  </si>
  <si>
    <t>영인에이스 주식회사</t>
  </si>
  <si>
    <t>이진근</t>
  </si>
  <si>
    <t>경기도 안양시 동안구 안양천동로 60 (호계동)</t>
  </si>
  <si>
    <t>전문, 과학 및 기술서비스업</t>
  </si>
  <si>
    <t>물리, 화학 및 생물학 연구개발업</t>
  </si>
  <si>
    <t>정윤진</t>
  </si>
  <si>
    <t>031-340-3199</t>
  </si>
  <si>
    <t>010-5042-5628</t>
  </si>
  <si>
    <t>yjjeong@younginace.com</t>
  </si>
  <si>
    <t>(주)한국발보린</t>
  </si>
  <si>
    <t>이덕우,김재명</t>
  </si>
  <si>
    <t>울산광역시 울주군 공단로 375</t>
  </si>
  <si>
    <t>제조업 도매 외</t>
  </si>
  <si>
    <t>특수코팅, 윤활유, 방청제 외</t>
  </si>
  <si>
    <t>신가영님</t>
  </si>
  <si>
    <t>webtax@valvoline.co.kr</t>
  </si>
  <si>
    <t>주식회사 더좋은 선정릉점</t>
  </si>
  <si>
    <t>서울 강남구 봉은사로 326(역삼동,남전빌딩8층,9층)</t>
  </si>
  <si>
    <t>서비스 소매업 부동산업</t>
  </si>
  <si>
    <t>투자자문,경영컨설팅 외</t>
  </si>
  <si>
    <t>유인에듀닉스(주)</t>
  </si>
  <si>
    <t>김정수</t>
  </si>
  <si>
    <t>경기도 안양시 만안구 덕천로152번길 25, B동 1810B호(안양동, 안양아 이에스BIZ타워센트럴)</t>
  </si>
  <si>
    <t>온라인정보제공업 외</t>
  </si>
  <si>
    <t>김경수</t>
  </si>
  <si>
    <t>070-0000-0000</t>
  </si>
  <si>
    <t>010-4722-5543</t>
  </si>
  <si>
    <t>kks@edunics.com</t>
  </si>
  <si>
    <t>(주)선인장컴퍼니</t>
  </si>
  <si>
    <t>김철식</t>
  </si>
  <si>
    <t>서울특별시 영등포구 선유로 9길 10,511호(문래동6가,SK V1)</t>
  </si>
  <si>
    <t>정보통신업 외</t>
  </si>
  <si>
    <t>컴퓨터 시스템 통합 자문 및 네트워크 구축 서비스업</t>
  </si>
  <si>
    <t>김철식 대표님</t>
  </si>
  <si>
    <t>010-4139-1422</t>
  </si>
  <si>
    <t>cactusco@naver.com</t>
  </si>
  <si>
    <t>인터2000</t>
  </si>
  <si>
    <t>양중모</t>
  </si>
  <si>
    <t>서울 동대문구 장한로14길 81, 108동 2101호(장안동, 래미안 장안아파트)</t>
  </si>
  <si>
    <t>소프트웨어개발및공급</t>
  </si>
  <si>
    <t>02-6227-6406</t>
  </si>
  <si>
    <t>010-9189-7273</t>
  </si>
  <si>
    <t>notfee@hanmail.net</t>
  </si>
  <si>
    <t>주식회사 위즈클라우드</t>
  </si>
  <si>
    <t>진경금</t>
  </si>
  <si>
    <t>서울특별시 금천구 가산디지털2로 46,1511호(가산동,에이스태세라타워)</t>
  </si>
  <si>
    <t>소프트웨어 개발,판매,유지 및 지원서비스업 외</t>
  </si>
  <si>
    <t>오지영</t>
  </si>
  <si>
    <t>02-2068-0231</t>
  </si>
  <si>
    <t>010-3325-2446</t>
  </si>
  <si>
    <t>ojygod@wizian.co.kr</t>
  </si>
  <si>
    <t>의료법인 시영의료재단 함안요양병원</t>
  </si>
  <si>
    <t>김성관</t>
  </si>
  <si>
    <t>요양병원</t>
  </si>
  <si>
    <t>055-586-2000</t>
  </si>
  <si>
    <t>(주)우림엔알</t>
  </si>
  <si>
    <t>이종학</t>
  </si>
  <si>
    <t>서울특별시 송파구 오금로 125,3층(방이동, 유미빌딩)</t>
  </si>
  <si>
    <t>서비스 도소매</t>
  </si>
  <si>
    <t>소프트웨어자문개발 컴퓨터및주변기기</t>
  </si>
  <si>
    <t>우림엔알</t>
  </si>
  <si>
    <t>02-421-0522</t>
  </si>
  <si>
    <t>woorimnr@woorimnr.com</t>
  </si>
  <si>
    <t>(주)블루포트(BluePort, Inc.)</t>
  </si>
  <si>
    <t>박재영</t>
  </si>
  <si>
    <t>서울특별시 강남구 테헤란로8길 41, 3층(역삼동,NSB빌딩)</t>
  </si>
  <si>
    <t>소프트웨어개발및공급 외</t>
  </si>
  <si>
    <t>이병연</t>
  </si>
  <si>
    <t>02-567-8290</t>
  </si>
  <si>
    <t>010-9757-4321</t>
  </si>
  <si>
    <t>tax@blueport.co.kr</t>
  </si>
  <si>
    <t>휴메디병원</t>
  </si>
  <si>
    <t>고지운</t>
  </si>
  <si>
    <t>경기도 남양주시 진접읍 금강로 1521번길1,2,3,4층</t>
  </si>
  <si>
    <t>종합병원/일반병원/요양병원</t>
  </si>
  <si>
    <t>이다은</t>
  </si>
  <si>
    <t>070-4296-5902</t>
  </si>
  <si>
    <t>seonah2247@naver.com</t>
  </si>
  <si>
    <t>(주)경동엔지니어링</t>
  </si>
  <si>
    <t>강재홍,강성묵</t>
  </si>
  <si>
    <t>충청남도 천안시 동남구 만남로 72 (신부동,삼부르네상스홈1514호)</t>
  </si>
  <si>
    <t>전문가술용역</t>
  </si>
  <si>
    <t>장원석</t>
  </si>
  <si>
    <t>070-7437-9546</t>
  </si>
  <si>
    <t>010-8320-2930</t>
  </si>
  <si>
    <t>wsjang@kdec.co.kr</t>
  </si>
  <si>
    <t>주식회사 티에스컴넷</t>
  </si>
  <si>
    <t>김종술</t>
  </si>
  <si>
    <t>서울특별시 강서구 양천로 583 A-1905호 (염창동,우림블루나인비지니스센터)</t>
  </si>
  <si>
    <t>도소매, 서비스</t>
  </si>
  <si>
    <t>통신장비,정보통신공사</t>
  </si>
  <si>
    <t>정봉호 부장님</t>
  </si>
  <si>
    <t>010-6205-9862</t>
  </si>
  <si>
    <t>tax@tscomnet.kr</t>
  </si>
  <si>
    <t>주식회사동심하이테크</t>
  </si>
  <si>
    <t>박종만</t>
  </si>
  <si>
    <t>서울특별시 영등포구 63로 32,723(여의도동, 라이프콤비빌딩)</t>
  </si>
  <si>
    <t>서비스 도소매 외</t>
  </si>
  <si>
    <t>컴퓨터시스템설계및자문업 외</t>
  </si>
  <si>
    <t>하수미</t>
  </si>
  <si>
    <t>02-780-7464</t>
  </si>
  <si>
    <t>010-3218-4626</t>
  </si>
  <si>
    <t>dh@dongsimht.co.kr</t>
  </si>
  <si>
    <t>대성회계법인</t>
  </si>
  <si>
    <t>최경수</t>
  </si>
  <si>
    <t>서울특별시 강남구 영동대로 333(대치동)</t>
  </si>
  <si>
    <t>공인회계사 외</t>
  </si>
  <si>
    <t>윤지영</t>
  </si>
  <si>
    <t>02-561-9091</t>
  </si>
  <si>
    <t>010-7119-0863</t>
  </si>
  <si>
    <t>sk4611@dssk.co.kr</t>
  </si>
  <si>
    <t>(주)와이비엠개발</t>
  </si>
  <si>
    <t>권오찬</t>
  </si>
  <si>
    <t>서울특별시 강남구 강남대로 408 (역삼동, YBM강남센터)</t>
  </si>
  <si>
    <t>부동산업 외</t>
  </si>
  <si>
    <t>임대업 외</t>
  </si>
  <si>
    <t>02-2000-0331</t>
  </si>
  <si>
    <t>ssyvat@ybm.co.kr</t>
  </si>
  <si>
    <t>주식회사 모스솔루션</t>
  </si>
  <si>
    <t>문재현</t>
  </si>
  <si>
    <t>경기도 수원시 권선구 고색로 8, 상가동 2층 204호(고색동, 우림필유)</t>
  </si>
  <si>
    <t>서비스업 외</t>
  </si>
  <si>
    <t>인터넷가입유치 외</t>
  </si>
  <si>
    <t>031-292-7411</t>
  </si>
  <si>
    <t>010-7651-7749</t>
  </si>
  <si>
    <t>mos2023@nate.com</t>
  </si>
  <si>
    <t>르도헤</t>
  </si>
  <si>
    <t>손철원</t>
  </si>
  <si>
    <t>부산광역시 해운대구 마린시티3로 37,213호,214호 (우동, 한일오르듀)</t>
  </si>
  <si>
    <t>음식, 도매 및 소매업</t>
  </si>
  <si>
    <t>한식, 전자상거래 소매업 외</t>
  </si>
  <si>
    <t>010-6220-7410</t>
  </si>
  <si>
    <t>bogopha@gmail.com</t>
  </si>
  <si>
    <t>주식회사 에이프리카</t>
  </si>
  <si>
    <t>강선근</t>
  </si>
  <si>
    <t>서울특별시 성동구 아차산로 103, 1208호,1209호,908호 (성수동2가, 영동테크노타워)</t>
  </si>
  <si>
    <t>정보처리업 외</t>
  </si>
  <si>
    <t>정하늘님</t>
  </si>
  <si>
    <t>tax@aifrica.co.kr</t>
  </si>
  <si>
    <t>주식회사 서버몬</t>
  </si>
  <si>
    <t>박승희</t>
  </si>
  <si>
    <t>서울특별시 금천구 가산디지털1로 168, 씨동 702호 (가산동, 우림라이온스밸리)</t>
  </si>
  <si>
    <t>도소매 제조업 외</t>
  </si>
  <si>
    <t>컴퓨터및주변기기 외</t>
  </si>
  <si>
    <t>tax@servermon.co.kr</t>
  </si>
  <si>
    <t>주식회사 아이티브래인</t>
  </si>
  <si>
    <t>윤경숙</t>
  </si>
  <si>
    <t>서울특별시 금천구 서부샛길 606, B동 1601호(460) (가산동, 대성디폴리스지식산업센터)</t>
  </si>
  <si>
    <t>도매 및 소매업</t>
  </si>
  <si>
    <t>컴퓨터 및 주변장치 도소매 외</t>
  </si>
  <si>
    <t>tax@it-brain.co.kr</t>
  </si>
  <si>
    <t>(주)다진기업</t>
  </si>
  <si>
    <t>윤종태</t>
  </si>
  <si>
    <t>경기도 안산시 상록구 팔곡산단2길 4(팔곡이동)</t>
  </si>
  <si>
    <t>제조,서비스업</t>
  </si>
  <si>
    <t>자동화기계 외</t>
  </si>
  <si>
    <t>031-487-8154</t>
  </si>
  <si>
    <t>dajin8154@naver.com</t>
  </si>
  <si>
    <t>주식회사 에이엠솔루션</t>
  </si>
  <si>
    <t>황진택</t>
  </si>
  <si>
    <t>경기도 화성시 향남읍 토성로 464-33</t>
  </si>
  <si>
    <t>플라스틱,화학제품 외</t>
  </si>
  <si>
    <t>윤인정</t>
  </si>
  <si>
    <t>010-2848-1049</t>
  </si>
  <si>
    <t>billams@amsolution.kr</t>
  </si>
  <si>
    <t>그린에코스 주식회사</t>
  </si>
  <si>
    <t>김윤관</t>
  </si>
  <si>
    <t>서울특별시 구로구 디지털로30길 28, 406(구로동,마리오타워)</t>
  </si>
  <si>
    <t>서비스 제조 외</t>
  </si>
  <si>
    <t>환경컨설팅 외</t>
  </si>
  <si>
    <t>장영미</t>
  </si>
  <si>
    <t>070-7010-4371</t>
  </si>
  <si>
    <t>young@greenecos.co.kr</t>
  </si>
  <si>
    <t>주식회사 씨앤보코</t>
  </si>
  <si>
    <t>최복호</t>
  </si>
  <si>
    <t>대구 서구 내당1동 61-13</t>
  </si>
  <si>
    <t>제조업</t>
  </si>
  <si>
    <t>여자용기성양장</t>
  </si>
  <si>
    <t>053-552-1334</t>
  </si>
  <si>
    <t>boko1334@hanmail.net</t>
  </si>
  <si>
    <t>주식회사 디에스앤텍</t>
  </si>
  <si>
    <t>장경수</t>
  </si>
  <si>
    <t>서울시 강남구 역삼로9길 28 (역삼동,도원빌딩4층)</t>
  </si>
  <si>
    <t>컴퓨터주변기기</t>
  </si>
  <si>
    <t>김보라</t>
  </si>
  <si>
    <t>02-3485-5400</t>
  </si>
  <si>
    <t>010-4042-7442</t>
  </si>
  <si>
    <t>dsntech1@dsntech.com</t>
  </si>
  <si>
    <t>백야독학2관</t>
  </si>
  <si>
    <t>김동현</t>
  </si>
  <si>
    <t>광주광역시 광산구 임방울대로332번길 9-4. 4층(수완동)</t>
  </si>
  <si>
    <t>서비스업</t>
  </si>
  <si>
    <t>스터디카페</t>
  </si>
  <si>
    <t>062-0000-0000</t>
  </si>
  <si>
    <t>010-7650-3282</t>
  </si>
  <si>
    <t>remnant1221@gmail.com</t>
  </si>
  <si>
    <t>주식회사 유알정보기술</t>
  </si>
  <si>
    <t>김성수</t>
  </si>
  <si>
    <t>대구광역시 동구 송라로 58. 4층(신천동, 대륙빌딩)</t>
  </si>
  <si>
    <t>컴퓨터소프트웨어개발 외</t>
  </si>
  <si>
    <t>정여원</t>
  </si>
  <si>
    <t>070-4902-3030</t>
  </si>
  <si>
    <t>010-6545-2539</t>
  </si>
  <si>
    <t>urit07@naver.com</t>
  </si>
  <si>
    <t>나인에스티</t>
  </si>
  <si>
    <t>유봉기,신준환</t>
  </si>
  <si>
    <t>서울시 구로구 디지털로30길 28, 902호,903호 (구로동,마리오타워)</t>
  </si>
  <si>
    <t>서비스업,도소매업</t>
  </si>
  <si>
    <t>소프트웨어개발,컴퓨터및주변기기</t>
  </si>
  <si>
    <t>손연지</t>
  </si>
  <si>
    <t>02-3463-4071</t>
  </si>
  <si>
    <t>010-4643-2704</t>
  </si>
  <si>
    <t>sonyj@ninest.co.kr</t>
  </si>
  <si>
    <t>사회복지법인한국혈우재단</t>
  </si>
  <si>
    <t>박상규</t>
  </si>
  <si>
    <t>서울특별시 서초구 사임당로 70 (서초동, 한국혈우재단 ,B1F , 1F ,2F ,3F)</t>
  </si>
  <si>
    <t>기타병리실험서비스, 기타의료</t>
  </si>
  <si>
    <t>김상호 차장님</t>
  </si>
  <si>
    <t>010-4063-0227</t>
  </si>
  <si>
    <t>shkim@kohem.org</t>
  </si>
  <si>
    <t>(주)지오넷</t>
  </si>
  <si>
    <t>이남구</t>
  </si>
  <si>
    <t>부산광역시 수영구 남천동로108번길 38, 제1동 4층(남천동, 골든비치타워)</t>
  </si>
  <si>
    <t>도매업 제조업 서비스</t>
  </si>
  <si>
    <t>인터넷을통한자동계측 외</t>
  </si>
  <si>
    <t>정혜림</t>
  </si>
  <si>
    <t>031-971-3646</t>
  </si>
  <si>
    <t>010-2190-1019</t>
  </si>
  <si>
    <t>hrjeong1019@geonet21.com</t>
  </si>
  <si>
    <t>(주)아이에스피</t>
  </si>
  <si>
    <t>박정권</t>
  </si>
  <si>
    <t>전라북도 전주시 덕진구 원만성로 109,1층(팔복동2가)</t>
  </si>
  <si>
    <t>제조 도소매 외</t>
  </si>
  <si>
    <t>정밀광학기 외</t>
  </si>
  <si>
    <t>황보화</t>
  </si>
  <si>
    <t>010-6342-2734</t>
  </si>
  <si>
    <t>isp_fnt@ispxrf.com</t>
  </si>
  <si>
    <t>(주)에이플넷 (Aplenet Co., Ltd)</t>
  </si>
  <si>
    <t>박현문</t>
  </si>
  <si>
    <t>서울특별시 강남구 봉은사로 84길 9, 3층(삼섬동, 메트릭스빌딩)</t>
  </si>
  <si>
    <t>도소매 외</t>
  </si>
  <si>
    <t>통신장비,소프트웨어 외</t>
  </si>
  <si>
    <t>서승희</t>
  </si>
  <si>
    <t>02-6204-9030</t>
  </si>
  <si>
    <t>010-2375-0786</t>
  </si>
  <si>
    <t>ruru@aplenet.co.kr</t>
  </si>
  <si>
    <t>(주)냉장인터불고제2공장</t>
  </si>
  <si>
    <t>김영식</t>
  </si>
  <si>
    <t>부산광역시 서구 원양로 125(암남동)</t>
  </si>
  <si>
    <t>운보.부동산</t>
  </si>
  <si>
    <t>냉동냉장창고임대</t>
  </si>
  <si>
    <t>권진연</t>
  </si>
  <si>
    <t>051-254-4881</t>
  </si>
  <si>
    <t>010-3598-7484</t>
  </si>
  <si>
    <t>rnjswlsfus@nate.com</t>
  </si>
  <si>
    <t>씨게이트압구정어학학원</t>
  </si>
  <si>
    <t>서울특별시 강남구 압구정로18길 25, 3,4층 (신사동)</t>
  </si>
  <si>
    <t>교육서비스업</t>
  </si>
  <si>
    <t>외국어학원</t>
  </si>
  <si>
    <t>이수현</t>
  </si>
  <si>
    <t>02-778-0509</t>
  </si>
  <si>
    <t>cgatea@ybm.co.kr</t>
  </si>
  <si>
    <t>(주)브로던</t>
  </si>
  <si>
    <t>김연은</t>
  </si>
  <si>
    <t>경기도 화성시 동탄기흥로 32-5</t>
  </si>
  <si>
    <t>통신기기, 전자기기</t>
  </si>
  <si>
    <t>경영지원팀</t>
  </si>
  <si>
    <t>031-8055-2700</t>
  </si>
  <si>
    <t>tax@broadern.co.kr</t>
  </si>
  <si>
    <t>토탈월드해운항공(주)</t>
  </si>
  <si>
    <t>신제식</t>
  </si>
  <si>
    <t>서울시 서초구 서운로 160, 503(서초동,팔레스빌딩)</t>
  </si>
  <si>
    <t>서비스 도매</t>
  </si>
  <si>
    <t>복합운송주선업 무역 수출입대행</t>
  </si>
  <si>
    <t>차혜정</t>
  </si>
  <si>
    <t>02-3482-0678</t>
  </si>
  <si>
    <t>010-2297-7464</t>
  </si>
  <si>
    <t>all1@totalworldsa.com</t>
  </si>
  <si>
    <t>의료법인 호원의료재단</t>
  </si>
  <si>
    <t>박정원</t>
  </si>
  <si>
    <t>경기 안산시 상록구 광덕산2로 22(월피동)</t>
  </si>
  <si>
    <t>박진호</t>
  </si>
  <si>
    <t>031-439-3119</t>
  </si>
  <si>
    <t>010-2621-7949</t>
  </si>
  <si>
    <t>howon1119@bill36524.com</t>
  </si>
  <si>
    <t>주식회사 코티비글로벌</t>
  </si>
  <si>
    <t>지용경</t>
  </si>
  <si>
    <t>경기도 고양시 일산동구 정발산로 24, 9층 (장항동, 웨스턴돔2)</t>
  </si>
  <si>
    <t>콘텐츠제작및유통 외</t>
  </si>
  <si>
    <t>김민경</t>
  </si>
  <si>
    <t>mkkim@kortv.com</t>
  </si>
  <si>
    <t>주식회사 아키테크</t>
  </si>
  <si>
    <t>유지영,이경환</t>
  </si>
  <si>
    <t>경상북도 영천시 금호읍 대구대길 333,1311호(대구대학교)</t>
  </si>
  <si>
    <t>시스템 소프트웨어 개발 및 공급업 외</t>
  </si>
  <si>
    <t>이경환</t>
  </si>
  <si>
    <t>053-0000-0000</t>
  </si>
  <si>
    <t>010-7902-4994</t>
  </si>
  <si>
    <t>khlee@archtech.co.kr</t>
  </si>
  <si>
    <t>주식회사 로와시스아이앤씨</t>
  </si>
  <si>
    <t>김용석</t>
  </si>
  <si>
    <t>대구광역시 동구 동대구로 465, 4층 403호(신천동)</t>
  </si>
  <si>
    <t>정보통신업</t>
  </si>
  <si>
    <t>소프트웨어 개발 및 공급</t>
  </si>
  <si>
    <t>이세형</t>
  </si>
  <si>
    <t>010-7271-1756</t>
  </si>
  <si>
    <t>shlee85@lowasis.com</t>
  </si>
  <si>
    <t>주식회사 더좋은 을지로입구점</t>
  </si>
  <si>
    <t>서울 중구 남대문로 117, 11층 (다동, 동아빌딩)</t>
  </si>
  <si>
    <t>투자자문, 경영컨설팅</t>
  </si>
  <si>
    <t>(주)스마트저축은행</t>
  </si>
  <si>
    <t>조성윤</t>
  </si>
  <si>
    <t>광주광역시 서구 상무대로 799, 1층, 2층, 5층(치평동)</t>
  </si>
  <si>
    <t>금융업 보험 부동산</t>
  </si>
  <si>
    <t>상호금융업 외</t>
  </si>
  <si>
    <t>이우섭 과장님</t>
  </si>
  <si>
    <t>wslee@smartbank.co.kr</t>
  </si>
  <si>
    <t>(주)미소로</t>
  </si>
  <si>
    <t>정기훈</t>
  </si>
  <si>
    <t>서울특별시 마포구 백범로 88(대흥동,경총B/D 지하1층)</t>
  </si>
  <si>
    <t>제조</t>
  </si>
  <si>
    <t>내의</t>
  </si>
  <si>
    <t>송현아</t>
  </si>
  <si>
    <t>010-8997-0466</t>
  </si>
  <si>
    <t>dc164116@hanmail.net</t>
  </si>
  <si>
    <t>의료법인솔트의료재단</t>
  </si>
  <si>
    <t>김일한</t>
  </si>
  <si>
    <t>충북 제천시 청전동 27-1</t>
  </si>
  <si>
    <t>재활의학과,가정의학과,산부인과</t>
  </si>
  <si>
    <t>엄지윤</t>
  </si>
  <si>
    <t>043-653-7700</t>
  </si>
  <si>
    <t>na-ujy91@hanmail.net</t>
  </si>
  <si>
    <t>오릭스캐피탈코리아 주식회사</t>
  </si>
  <si>
    <t>박철수</t>
  </si>
  <si>
    <t>서울특별시 강남구 테헤란로 306,13층 (역삼동,케이트타워)</t>
  </si>
  <si>
    <t>서비스 금융업</t>
  </si>
  <si>
    <t>기타산업용기계장비임대 외</t>
  </si>
  <si>
    <t>김지훈</t>
  </si>
  <si>
    <t>02-2184-6945</t>
  </si>
  <si>
    <t>jihoon_kim@orix.co.kr</t>
  </si>
  <si>
    <t>주식회사 트루네트웍스</t>
  </si>
  <si>
    <t>류선영</t>
  </si>
  <si>
    <t>경기도 성남시 분당구 성남대로 51 , 474 (구미동, 분당포스빌)</t>
  </si>
  <si>
    <t>도서 정보통신장개발 외</t>
  </si>
  <si>
    <t>이진</t>
  </si>
  <si>
    <t>031-889-8894</t>
  </si>
  <si>
    <t>010-4605-8041</t>
  </si>
  <si>
    <t>sean@mikrotik.co.kr</t>
  </si>
  <si>
    <t>(주)링크프라이스</t>
  </si>
  <si>
    <t>이병헌</t>
  </si>
  <si>
    <t>서울특별시 금천구 가산디지털1로 205-28 6,7,8층 (가산동, 대신아이티타워동)</t>
  </si>
  <si>
    <t>온라인정보제공 외</t>
  </si>
  <si>
    <t>링크프라이스</t>
  </si>
  <si>
    <t>02-3438-3221</t>
  </si>
  <si>
    <t>010-3763-2756</t>
  </si>
  <si>
    <t>dev_admin@linkprice.com</t>
  </si>
  <si>
    <t>(주)싸이크로스</t>
  </si>
  <si>
    <t>김인자</t>
  </si>
  <si>
    <t>서울특별시 강남구 양재천로 191(도곡동,동화빌딩 2층)</t>
  </si>
  <si>
    <t>제조 서비스</t>
  </si>
  <si>
    <t>소프트웨어복제제조 외</t>
  </si>
  <si>
    <t>윤정원</t>
  </si>
  <si>
    <t>02-579-2050</t>
  </si>
  <si>
    <t>tax@sycros.com</t>
  </si>
  <si>
    <t>유니닥스주식회사</t>
  </si>
  <si>
    <t>정기태</t>
  </si>
  <si>
    <t>서울특별시 구로구 디지털로 272, 308호 (구로동, 한신아이티타워)</t>
  </si>
  <si>
    <t>호스팅 및 관련 서비스업</t>
  </si>
  <si>
    <t>이종혁</t>
  </si>
  <si>
    <t>070-4890-9823</t>
  </si>
  <si>
    <t>010-8019-6949</t>
  </si>
  <si>
    <t>unidocs@bill36524.com</t>
  </si>
  <si>
    <t>(주)안전대부</t>
  </si>
  <si>
    <t>김윤종</t>
  </si>
  <si>
    <t>서울특별시 마포구 양화로 165 (동교동, 상진빌딩) 7층, 8층</t>
  </si>
  <si>
    <t>금융및보험업, 서비스</t>
  </si>
  <si>
    <t>대부업, 대출심사 대리</t>
  </si>
  <si>
    <t>김유영</t>
  </si>
  <si>
    <t>02-3774-4816</t>
  </si>
  <si>
    <t>safe9000@naver.com</t>
  </si>
  <si>
    <t>주식회사 국지평</t>
  </si>
  <si>
    <t>송수연</t>
  </si>
  <si>
    <t>경기도 화성시 동탄순환대로 690, 6층 1호(영천동,애플스퀘어)</t>
  </si>
  <si>
    <t>일반 서적 출판업 외</t>
  </si>
  <si>
    <t>010-3468-3013</t>
  </si>
  <si>
    <t>syeon2012@naver.com</t>
  </si>
  <si>
    <t>(주)대한과학통상</t>
  </si>
  <si>
    <t>서영택</t>
  </si>
  <si>
    <t>서울특별시 성북구 화랑로18길 25-31, 3층(상월곡동)</t>
  </si>
  <si>
    <t>도매및상품중개업</t>
  </si>
  <si>
    <t>상품종합 중개업</t>
  </si>
  <si>
    <t>070-5020-1503</t>
  </si>
  <si>
    <t>010-9020-4963</t>
  </si>
  <si>
    <t>patrick.suh@daihan-sci.com</t>
  </si>
  <si>
    <t>주식회사 제니타스인베스트먼트</t>
  </si>
  <si>
    <t>김대홍</t>
  </si>
  <si>
    <t>서울특별시 용산구 이태원로 27길 31-1,2층,3층(이태원동)</t>
  </si>
  <si>
    <t>금융업 서비스</t>
  </si>
  <si>
    <t>신기술사업금융업 외</t>
  </si>
  <si>
    <t>신정화</t>
  </si>
  <si>
    <t>02-2261-1379</t>
  </si>
  <si>
    <t>010-2101-0141</t>
  </si>
  <si>
    <t>jhshin@zenitas.co.kr</t>
  </si>
  <si>
    <t>(주)냉장 인터불고</t>
  </si>
  <si>
    <t>부산광역시 사하구 다대로 359(장림동)</t>
  </si>
  <si>
    <t>운보업 외</t>
  </si>
  <si>
    <t>냉동냉장창고 외</t>
  </si>
  <si>
    <t>051-261-4881</t>
  </si>
  <si>
    <t>ibcold1@naver.com</t>
  </si>
  <si>
    <t>(주)태강대부</t>
  </si>
  <si>
    <t>라영배</t>
  </si>
  <si>
    <t>서울특별시 종로구 도렴동 60번지</t>
  </si>
  <si>
    <t>금융</t>
  </si>
  <si>
    <t>대금업</t>
  </si>
  <si>
    <t>김은영</t>
  </si>
  <si>
    <t>02-739-7686</t>
  </si>
  <si>
    <t>taxbill@cashbucks.co.kr</t>
  </si>
  <si>
    <t>사회복지법인한국혈우재단광주의원</t>
  </si>
  <si>
    <t>광주 서구 농성동 417-31 엘지생활건강빌딩 4층</t>
  </si>
  <si>
    <t>기타병리실험서비스 기타의료</t>
  </si>
  <si>
    <t>김상호</t>
  </si>
  <si>
    <t>070-7609-0640</t>
  </si>
  <si>
    <t>엘리오앤컴퍼니(주)</t>
  </si>
  <si>
    <t>박개성</t>
  </si>
  <si>
    <t>서울특별시 강남구 언주로 103길 7(역삼동)</t>
  </si>
  <si>
    <t>경영자문,브랜드컨설팅 외</t>
  </si>
  <si>
    <t>02-725-1225</t>
  </si>
  <si>
    <t>tax@elio.co.kr</t>
  </si>
  <si>
    <t>건축사사무소비이에이(주)</t>
  </si>
  <si>
    <t>김보람</t>
  </si>
  <si>
    <t>서울특별시 송파구 송파대로 378 , 7층 (송파동)</t>
  </si>
  <si>
    <t>건축사</t>
  </si>
  <si>
    <t>정영복</t>
  </si>
  <si>
    <t>02-6956-4608</t>
  </si>
  <si>
    <t>010-4535-7517</t>
  </si>
  <si>
    <t>youngbok.jung@beaand.com</t>
  </si>
  <si>
    <t>주식회사 와이비엠</t>
  </si>
  <si>
    <t>허문호</t>
  </si>
  <si>
    <t>서울특별시 종로구 종로 104 (종로2가)</t>
  </si>
  <si>
    <t>제조업, 도소매, 부동산업</t>
  </si>
  <si>
    <t>일반서적출판, 교과서출판 외</t>
  </si>
  <si>
    <t>taxadmin@ybm.co.kr</t>
  </si>
  <si>
    <t>(재)경상북도경제진흥원</t>
  </si>
  <si>
    <t>박성수</t>
  </si>
  <si>
    <t>경상북도 구미시 이계북로 7 (임수동)</t>
  </si>
  <si>
    <t>서비스. 부동산</t>
  </si>
  <si>
    <t>중소기업종합지원 .임대</t>
  </si>
  <si>
    <t>박정민</t>
  </si>
  <si>
    <t>054-470-8544</t>
  </si>
  <si>
    <t>010-9391-7295</t>
  </si>
  <si>
    <t>jmpark@gepa.kr</t>
  </si>
  <si>
    <t>(주)유일정밀</t>
  </si>
  <si>
    <t>조태일</t>
  </si>
  <si>
    <t>경기도 화성시 팔탄면 터넉골로120번길 103-10</t>
  </si>
  <si>
    <t>금속압형기계,금형,자동차부품,보일러부품</t>
  </si>
  <si>
    <t>조민동</t>
  </si>
  <si>
    <t>031-366-6380</t>
  </si>
  <si>
    <t>010-2743-8512</t>
  </si>
  <si>
    <t>yuilpc@daum.net</t>
  </si>
  <si>
    <t>주식회사 팜투어</t>
  </si>
  <si>
    <t>권일호</t>
  </si>
  <si>
    <t>서울특별시 강남구 언주로 711, 1층 (논현동, 건설회관)</t>
  </si>
  <si>
    <t>일반여행업 외</t>
  </si>
  <si>
    <t>홍인표</t>
  </si>
  <si>
    <t>02-2003-6672</t>
  </si>
  <si>
    <t>010-2352-3764</t>
  </si>
  <si>
    <t>redin2@paran.com</t>
  </si>
  <si>
    <t>(주)필코아이엔씨</t>
  </si>
  <si>
    <t>박지도</t>
  </si>
  <si>
    <t>서울특별시 성동구 성수동2가 308-4 서울숲 코오롱디지탈타워1차 507호</t>
  </si>
  <si>
    <t>제조업도매서비스</t>
  </si>
  <si>
    <t>피혁의류무역수출업</t>
  </si>
  <si>
    <t>김미선</t>
  </si>
  <si>
    <t>02-2115-8251</t>
  </si>
  <si>
    <t>010-2697-3532</t>
  </si>
  <si>
    <t>mskim@sslpk.com</t>
  </si>
  <si>
    <t>그레잇 그레인앤가먼트 아시아태평양(주)</t>
  </si>
  <si>
    <t>박진태</t>
  </si>
  <si>
    <t>경기도 성남시 분당구 느티로 22 , B동 2103호 G&amp;G</t>
  </si>
  <si>
    <t>도소매</t>
  </si>
  <si>
    <t>농산물</t>
  </si>
  <si>
    <t>박학경</t>
  </si>
  <si>
    <t>031-711-2277</t>
  </si>
  <si>
    <t>010-8891-7299</t>
  </si>
  <si>
    <t>michaelpark@gngasiapacific.com</t>
  </si>
  <si>
    <t>주식회사 더좋은 여의도점</t>
  </si>
  <si>
    <t>서울특별시 영등포구 여의대방로65길 20, 9층(여의도동)</t>
  </si>
  <si>
    <t>전문, 과학 및 기술서비스업 외</t>
  </si>
  <si>
    <t>경영 컨설팅업(경영지도사) 외</t>
  </si>
  <si>
    <t>02-761-7400</t>
  </si>
  <si>
    <t>(주)명인코리아</t>
  </si>
  <si>
    <t>김영열</t>
  </si>
  <si>
    <t>경기도 화성시 푸른들판로 452-10</t>
  </si>
  <si>
    <t>도매 및 소매업, 제조업</t>
  </si>
  <si>
    <t>배관자재, 철강자재, 건축자재 외</t>
  </si>
  <si>
    <t>김경숙</t>
  </si>
  <si>
    <t>070-7114-6405</t>
  </si>
  <si>
    <t>bill@mymk.co.kr</t>
  </si>
  <si>
    <t>(주)데이터앤솔루션</t>
  </si>
  <si>
    <t>정진균</t>
  </si>
  <si>
    <t>서울특별시 서초구 남부순환로325길 17 , 503호 (서초동)</t>
  </si>
  <si>
    <t>데이터수집, 소프트웨어 개발 및 공급</t>
  </si>
  <si>
    <t>02-6953-2095</t>
  </si>
  <si>
    <t>010-3702-2546</t>
  </si>
  <si>
    <t>jungjk@datansolution.com</t>
  </si>
  <si>
    <t>가립회계법인</t>
  </si>
  <si>
    <t>권흥락</t>
  </si>
  <si>
    <t>대구광역시 중구 명덕로 315, 이경빌딩 5층(대봉동)</t>
  </si>
  <si>
    <t>사업관련서비스업 외</t>
  </si>
  <si>
    <t>합동세무사. 공인회계사 외</t>
  </si>
  <si>
    <t>김지은</t>
  </si>
  <si>
    <t>053-603-6362</t>
  </si>
  <si>
    <t>010-3646-9025</t>
  </si>
  <si>
    <t>garibdg@naver.com</t>
  </si>
  <si>
    <t>스코 AI 관리형 스터디카페 구의1호점</t>
  </si>
  <si>
    <t>성미현</t>
  </si>
  <si>
    <t>서울특별시 광진구 자양로 163,3층 301,302,303호(구의동, 우남빌딩)</t>
  </si>
  <si>
    <t>공간대여</t>
  </si>
  <si>
    <t>변해수</t>
  </si>
  <si>
    <t>010-6227-2191</t>
  </si>
  <si>
    <t>byun017@gmail.com</t>
  </si>
  <si>
    <t>(주)프리텔레콤</t>
  </si>
  <si>
    <t>이석환</t>
  </si>
  <si>
    <t>서울특별시 성동구 성수이로22길 37 (성수동2가, 아크밸리7층)</t>
  </si>
  <si>
    <t>서비스 도매 소매업</t>
  </si>
  <si>
    <t>소프트웨어자문 개발및공급 외</t>
  </si>
  <si>
    <t>이지은 과장님</t>
  </si>
  <si>
    <t>jelee@freet.co.kr</t>
  </si>
  <si>
    <t>(주)케이투아이엠에스</t>
  </si>
  <si>
    <t>김종익</t>
  </si>
  <si>
    <t>경기도 안양시 동안구 동편로183번길 59-2,1층(관양동)</t>
  </si>
  <si>
    <t>컴퓨터및방송용S/W개발공급업</t>
  </si>
  <si>
    <t>02-597-0090</t>
  </si>
  <si>
    <t>010-6433-1430</t>
  </si>
  <si>
    <t>jikim@k2ims.com</t>
  </si>
  <si>
    <t>(주)하이콘소프트</t>
  </si>
  <si>
    <t>황진호</t>
  </si>
  <si>
    <t>서울특별시 강서구 마곡중앙로 165, 13층 1303호(마곡동,프라이빗타워1차)</t>
  </si>
  <si>
    <t>SW개발 및 공급 외</t>
  </si>
  <si>
    <t>070-8846-5577</t>
  </si>
  <si>
    <t>hr@hyconsoft.com</t>
  </si>
  <si>
    <t>강남호랑이마취통증의학과의원</t>
  </si>
  <si>
    <t>박준범</t>
  </si>
  <si>
    <t>서울특별시 성동구 독서당로 300, 3,4층 (금호동4가)</t>
  </si>
  <si>
    <t>마취통증의학과</t>
  </si>
  <si>
    <t>02-2281-7588</t>
  </si>
  <si>
    <t>010-9860-3250</t>
  </si>
  <si>
    <t>screamout@naver.com</t>
  </si>
  <si>
    <t>주식회사 에이유테크</t>
  </si>
  <si>
    <t>최민옥</t>
  </si>
  <si>
    <t>경기도 화성시 정남면 문학로80번길 27 (주)에이유테크</t>
  </si>
  <si>
    <t>제조 외</t>
  </si>
  <si>
    <t>반도체관련세정장비 외</t>
  </si>
  <si>
    <t>031-8059-6441</t>
  </si>
  <si>
    <t>010-8856-6625</t>
  </si>
  <si>
    <t>autech6550@bill36524.com</t>
  </si>
  <si>
    <t>주식회사 스마트아이티</t>
  </si>
  <si>
    <t>남광현</t>
  </si>
  <si>
    <t>서울특별시 중구 통일로 86,1118호,1119호(순화동, 바비엥3)</t>
  </si>
  <si>
    <t>서비스, 도매 및 소매업</t>
  </si>
  <si>
    <t>네트워크개발 외</t>
  </si>
  <si>
    <t>smartit113@naver.com</t>
  </si>
  <si>
    <t>주식회사 더좋은 언주점</t>
  </si>
  <si>
    <t>서울 강남구 언주로113길 7, 3,4층(논현동, 논현237번지)</t>
  </si>
  <si>
    <t>서비스,소매</t>
  </si>
  <si>
    <t>투자자문,경영컨설팅</t>
  </si>
  <si>
    <t>(주)마이다이얼</t>
  </si>
  <si>
    <t>진광석</t>
  </si>
  <si>
    <t>서울 강남구 논현로 168길 36 (신사동, 안국빌딩3층)</t>
  </si>
  <si>
    <t>소매</t>
  </si>
  <si>
    <t>전자상거래</t>
  </si>
  <si>
    <t>이옥</t>
  </si>
  <si>
    <t>02-3448-0288</t>
  </si>
  <si>
    <t>010-7383-7900</t>
  </si>
  <si>
    <t>rb32@ibusiness.co.kr</t>
  </si>
  <si>
    <t>주식회사 시공사(SIGONGSA CO., Ltd)</t>
  </si>
  <si>
    <t>윤호권</t>
  </si>
  <si>
    <t>서울특별시 성동구 광나루로 172,4층(성수동1가, 린 하우스)</t>
  </si>
  <si>
    <t>제조업, 도소매</t>
  </si>
  <si>
    <t>출판, 문구, 완구 외</t>
  </si>
  <si>
    <t>김난영님</t>
  </si>
  <si>
    <t>nanyoung@sigongsa.com</t>
  </si>
  <si>
    <t>의료법인 서울효천의료재단 에이치플러스 양지병원</t>
  </si>
  <si>
    <t>김철수</t>
  </si>
  <si>
    <t>서울특별시 관악구 남부순환로 1636 (신림동)</t>
  </si>
  <si>
    <t>보건업 외</t>
  </si>
  <si>
    <t>종합병원 외</t>
  </si>
  <si>
    <t>김연희</t>
  </si>
  <si>
    <t>070-4665-9041</t>
  </si>
  <si>
    <t>010-8415-8003</t>
  </si>
  <si>
    <t>m4147@newyjh.com</t>
  </si>
  <si>
    <t>주식회사 지아이지</t>
  </si>
  <si>
    <t>김기운</t>
  </si>
  <si>
    <t>경상남도 양산시 물금읍 증산1길 7</t>
  </si>
  <si>
    <t>운송주선,복합운송주선 외</t>
  </si>
  <si>
    <t>김경문</t>
  </si>
  <si>
    <t>070-4651-5060</t>
  </si>
  <si>
    <t>giglogis@bill36524.com</t>
  </si>
  <si>
    <t>주식회사 에이투마인드</t>
  </si>
  <si>
    <t>박용운</t>
  </si>
  <si>
    <t>서울특별시 강남구 광평로51길 6-15, 4층(수서동,씨엔에스빌딩)</t>
  </si>
  <si>
    <t>인공지능 및 자율사물,로봇 응용 소프트웨어 개발 및</t>
  </si>
  <si>
    <t>구윤희</t>
  </si>
  <si>
    <t>010-9299-1814</t>
  </si>
  <si>
    <t>yhgu@a2mind.com</t>
  </si>
  <si>
    <t>주식회사 엠스타넷</t>
  </si>
  <si>
    <t>손경욱</t>
  </si>
  <si>
    <t>서울특별시 성동구 아차산로17길 49 생각공장데시앙플렉스 1213호</t>
  </si>
  <si>
    <t>소프트웨어 개발업 외</t>
  </si>
  <si>
    <t>010-2547-8503</t>
  </si>
  <si>
    <t>msskw@mstarnet.com</t>
  </si>
  <si>
    <t>(주)씨엠파트너</t>
  </si>
  <si>
    <t>이병세</t>
  </si>
  <si>
    <t>경기도 용인시 처인구 남사면 경기동로 479 -11</t>
  </si>
  <si>
    <t>제조업, 도소매업 외</t>
  </si>
  <si>
    <t>이륜자동차, 축전지 외</t>
  </si>
  <si>
    <t>유덕형</t>
  </si>
  <si>
    <t>031-329-1537</t>
  </si>
  <si>
    <t>010-4153-8096</t>
  </si>
  <si>
    <t>dhryu@cmpartner.com</t>
  </si>
  <si>
    <t>주식회사 오케이모기지론대부</t>
  </si>
  <si>
    <t>박재완</t>
  </si>
  <si>
    <t>서울특별시 서초구 반포대로26길 58 한승빌딩 6층</t>
  </si>
  <si>
    <t>금융업</t>
  </si>
  <si>
    <t>대부업</t>
  </si>
  <si>
    <t>강성희</t>
  </si>
  <si>
    <t>02-6270-8166</t>
  </si>
  <si>
    <t>010-4149-1015</t>
  </si>
  <si>
    <t>okmortgageloan@daum.net</t>
  </si>
  <si>
    <t>(주)통합정보기술</t>
  </si>
  <si>
    <t>신광선</t>
  </si>
  <si>
    <t>서울특별시 서초구 서초중앙로5길 10-8 우성쁘띠오피스텔 501호</t>
  </si>
  <si>
    <t>소프트웨어자문</t>
  </si>
  <si>
    <t>김장한</t>
  </si>
  <si>
    <t>02-525-4031</t>
  </si>
  <si>
    <t>010-4765-6655</t>
  </si>
  <si>
    <t>wes68@naver.com</t>
  </si>
  <si>
    <t>블루어드에임즈(주)</t>
  </si>
  <si>
    <t>경기도 안양시 동안구 동편로183번길 59-2, 1층(관양동)</t>
  </si>
  <si>
    <t>시스템통합(SI) 외</t>
  </si>
  <si>
    <t>070-7789-3428</t>
  </si>
  <si>
    <t>tax@bwaims.com</t>
  </si>
  <si>
    <t>주식회사 위지언</t>
  </si>
  <si>
    <t>장상범</t>
  </si>
  <si>
    <t>서울특별시 금천구 가산디지털2로 70, 19층 1909호 (가산동, 대륭테크노타운19차)</t>
  </si>
  <si>
    <t>소프트웨어개발및판매,소프트웨어유지및 지원서비스</t>
  </si>
  <si>
    <t>오지영님</t>
  </si>
  <si>
    <t>주식회사 아세코</t>
  </si>
  <si>
    <t>김도훈</t>
  </si>
  <si>
    <t>경기도 시흥시 마전로 307 (거모동, 시흥아세코밸리골프장)</t>
  </si>
  <si>
    <t>골프장,통신판매업 외</t>
  </si>
  <si>
    <t>김대현</t>
  </si>
  <si>
    <t>031-488-8000</t>
  </si>
  <si>
    <t>010-6684-6254</t>
  </si>
  <si>
    <t>aseco2017@naver.com</t>
  </si>
  <si>
    <t>TANGENT KOREA</t>
  </si>
  <si>
    <t>박재범</t>
  </si>
  <si>
    <t>경기도 부천시 원미구 조마루로 385번길 44-5(원미동)</t>
  </si>
  <si>
    <t>전기전자 외</t>
  </si>
  <si>
    <t>장윤미</t>
  </si>
  <si>
    <t>032-678-6969</t>
  </si>
  <si>
    <t>010-2220-8678</t>
  </si>
  <si>
    <t>hijym@naver.com</t>
  </si>
  <si>
    <t>(주)올포랩</t>
  </si>
  <si>
    <t>이상범</t>
  </si>
  <si>
    <t>서울특별시 금천구 가산디지털2로 123 , 가산동 2층 216호 (가산동, 월드메르디앙2차)</t>
  </si>
  <si>
    <t>송유진</t>
  </si>
  <si>
    <t>070-5020-1664</t>
  </si>
  <si>
    <t>010-9788-8937</t>
  </si>
  <si>
    <t>forlab64070@bill36524.com</t>
  </si>
  <si>
    <t>주식회사 스마트블루</t>
  </si>
  <si>
    <t>김태호</t>
  </si>
  <si>
    <t>서울특별시 금천구 가산디지털1로 83,3층 301호(가산동, 파트너스타워)</t>
  </si>
  <si>
    <t>소프트웨어자문 개발및공급업 외</t>
  </si>
  <si>
    <t>thkim@smartblue.co.kr</t>
  </si>
  <si>
    <t>주식회사 프리티 성동지점</t>
  </si>
  <si>
    <t>유인수</t>
  </si>
  <si>
    <t>서울 성동구 성수이로22길 37 (성수동2가, 아크밸리7층)</t>
  </si>
  <si>
    <t>서비스 도매 소매 통신업</t>
  </si>
  <si>
    <t>소프트웨어개발,자문,공급 외</t>
  </si>
  <si>
    <t>이지은</t>
  </si>
  <si>
    <t>02-554-4578</t>
  </si>
  <si>
    <t>010-8098-0009</t>
  </si>
  <si>
    <t>(주)센구조연구소</t>
  </si>
  <si>
    <t>이창남</t>
  </si>
  <si>
    <t>서울특별시 영등포구 버드나루로19길 6 (당산동, 센스빌딩3층)</t>
  </si>
  <si>
    <t>건축관련공학서비스 외</t>
  </si>
  <si>
    <t>백승미</t>
  </si>
  <si>
    <t>02-2629-3100</t>
  </si>
  <si>
    <t>1168136457@bestbill.co.kr</t>
  </si>
  <si>
    <t>영인랩플러스 주식회사</t>
  </si>
  <si>
    <t>이순길,김재우,이지민</t>
  </si>
  <si>
    <t>서울특별시 강남구 압구정로28길 22, 3층,5층(신사동,구정빌딩)</t>
  </si>
  <si>
    <t>도매 제조업 외</t>
  </si>
  <si>
    <t>과학기자재 외</t>
  </si>
  <si>
    <t>jyan@younginlp.com</t>
  </si>
  <si>
    <t>주식회사 와이닷시엔에스</t>
  </si>
  <si>
    <t>최두영</t>
  </si>
  <si>
    <t>대구광역시 동구 이노밸리로 162, 3층 303호 혁신빌딩 303호(각산동,혁산빌딩)</t>
  </si>
  <si>
    <t>보안솔루션, 소프트웨어 개발업 외</t>
  </si>
  <si>
    <t>053-745-5006</t>
  </si>
  <si>
    <t>010-4507-5006</t>
  </si>
  <si>
    <t>dychoi@ydot.kr</t>
  </si>
  <si>
    <t>(주)대선</t>
  </si>
  <si>
    <t>김화숙,최영숙</t>
  </si>
  <si>
    <t>전라남도 여수시 여수산단1로 342-33,1층(화치동)</t>
  </si>
  <si>
    <t>관체제조및탄통도색</t>
  </si>
  <si>
    <t>최진형</t>
  </si>
  <si>
    <t>061-685-8451</t>
  </si>
  <si>
    <t>010-9012-3590</t>
  </si>
  <si>
    <t>daesun685@hanmail.net</t>
  </si>
  <si>
    <t>퀵 웨이</t>
  </si>
  <si>
    <t>박지환</t>
  </si>
  <si>
    <t>서울특별시 동작구 사당로 273-1,3층(사당동, 리우드가구)</t>
  </si>
  <si>
    <t>서비스, 운수업</t>
  </si>
  <si>
    <t>퀵서비스 및 운송알선 외</t>
  </si>
  <si>
    <t>010-6262-0659</t>
  </si>
  <si>
    <t>quickway81@naver.com</t>
  </si>
  <si>
    <t>백야독학관리관</t>
  </si>
  <si>
    <t>김원대</t>
  </si>
  <si>
    <t>광주광역시 광산구 임방울대로332번길 9-8. 4층(수완동)</t>
  </si>
  <si>
    <t>010-4669-3019</t>
  </si>
  <si>
    <t>konea115@hanmail.net</t>
  </si>
  <si>
    <t>(주)드림어스컴퍼니</t>
  </si>
  <si>
    <t>이기영</t>
  </si>
  <si>
    <t>서울특별시 강남구 테헤란로14길 16 (역삼동, 라인빌딩)</t>
  </si>
  <si>
    <t>서비스, 제조업 외</t>
  </si>
  <si>
    <t>온라인음악 서비스 제공업 외</t>
  </si>
  <si>
    <t>itsbill@dreamus.io</t>
  </si>
  <si>
    <t>(주)에스피지</t>
  </si>
  <si>
    <t>이준호,여영길</t>
  </si>
  <si>
    <t>인천시 남동구 청능대로289번길 45 (고잔동,남동공단67B12L)</t>
  </si>
  <si>
    <t>제조업 제조</t>
  </si>
  <si>
    <t>전기전자기기. 전기전자부품외</t>
  </si>
  <si>
    <t>이은규 책임</t>
  </si>
  <si>
    <t>010-5676-6591</t>
  </si>
  <si>
    <t>eklee@spg.co.kr</t>
  </si>
  <si>
    <t>(주)제일소프트</t>
  </si>
  <si>
    <t>최선영</t>
  </si>
  <si>
    <t>광주광역시 서구 상무중앙로 9 (치평동, 동양빌딩 19층)</t>
  </si>
  <si>
    <t>정선명</t>
  </si>
  <si>
    <t>070-4659-0821</t>
  </si>
  <si>
    <t>010-3836-9507</t>
  </si>
  <si>
    <t>roha3526@jeilsoft.co.kr</t>
  </si>
  <si>
    <t>써밋독학재수학원</t>
  </si>
  <si>
    <t>김종민</t>
  </si>
  <si>
    <t>광주광역시 광산구 첨단중앙로124번길 30,2층 201호(월계동)</t>
  </si>
  <si>
    <t>일반 교과학원</t>
  </si>
  <si>
    <t>김가영</t>
  </si>
  <si>
    <t>010-8240-7133</t>
  </si>
  <si>
    <t>ableenglish1603@naver.com</t>
  </si>
  <si>
    <t>(주)종합건축사사무소고우건축</t>
  </si>
  <si>
    <t>양승관외3명</t>
  </si>
  <si>
    <t>서울 서초구 반포동 740-18</t>
  </si>
  <si>
    <t>건축설계</t>
  </si>
  <si>
    <t>지현옥</t>
  </si>
  <si>
    <t>02-3443-5187</t>
  </si>
  <si>
    <t>010-8910-5866</t>
  </si>
  <si>
    <t>gws@ghowoo.co.kr</t>
  </si>
  <si>
    <t>미성엠프로 주식회사</t>
  </si>
  <si>
    <t>이영일</t>
  </si>
  <si>
    <t>서울특별시 영등포구 당산로 118, 102호,702호 (당산동3가, 대흥빌딩)</t>
  </si>
  <si>
    <t>건물(시설)관리용역 외</t>
  </si>
  <si>
    <t>박경환</t>
  </si>
  <si>
    <t>02-3660-6813</t>
  </si>
  <si>
    <t>010-3456-7165</t>
  </si>
  <si>
    <t>policus@misungmpro.com</t>
  </si>
  <si>
    <t>한국야스카와전기(주)</t>
  </si>
  <si>
    <t>YAMADASEIGO</t>
  </si>
  <si>
    <t>경기도 안양시 동안구 엘에스로 112, 5층, 6층(호계동)</t>
  </si>
  <si>
    <t>도매업,서비스</t>
  </si>
  <si>
    <t>무역,무역중개</t>
  </si>
  <si>
    <t>서 영</t>
  </si>
  <si>
    <t>02-368-8826</t>
  </si>
  <si>
    <t>010-4866-0143</t>
  </si>
  <si>
    <t>tina77@yaskawa.co.kr</t>
  </si>
  <si>
    <t>통로이미지(주)</t>
  </si>
  <si>
    <t>이철집</t>
  </si>
  <si>
    <t>서울특별시 중구 수표로 3-6 (충무로2가)</t>
  </si>
  <si>
    <t>정보통신업, 도매업,소매업,서비스</t>
  </si>
  <si>
    <t>데이터베이스 및 온라인 정보 제공업, 무역 외</t>
  </si>
  <si>
    <t>강태은</t>
  </si>
  <si>
    <t>02-2270-1773</t>
  </si>
  <si>
    <t>trtax@tongro.co.kr</t>
  </si>
  <si>
    <t>02-2140-5416</t>
  </si>
  <si>
    <t>(주)구주글로벌</t>
  </si>
  <si>
    <t>고동훈,신현범</t>
  </si>
  <si>
    <t>서울특별시 영등포구 선유로 146, 702호(이엔씨드림타워)</t>
  </si>
  <si>
    <t>도매외</t>
  </si>
  <si>
    <t>수출외</t>
  </si>
  <si>
    <t>전재욱</t>
  </si>
  <si>
    <t>02-2627-0151</t>
  </si>
  <si>
    <t>010-9037-7549</t>
  </si>
  <si>
    <t>jwjeon@koojoog.co.kr</t>
  </si>
  <si>
    <t>성화기업택배(주)</t>
  </si>
  <si>
    <t>이수근</t>
  </si>
  <si>
    <t>서울특별시 중구 만리재로 215 (만리동1가)</t>
  </si>
  <si>
    <t>서비스(택배) 운수업</t>
  </si>
  <si>
    <t>화물운송대행,택배업,소포송달업 외</t>
  </si>
  <si>
    <t>이수빈</t>
  </si>
  <si>
    <t>010-2938-3752</t>
  </si>
  <si>
    <t>subin.lee@shl1978.com</t>
  </si>
  <si>
    <t>와이비엠어학원</t>
  </si>
  <si>
    <t>민선식</t>
  </si>
  <si>
    <t>서울특별시 강남구 강남대로 408, 5층 ~9층 (역삼동, YBM강남센터)</t>
  </si>
  <si>
    <t>교육서비스</t>
  </si>
  <si>
    <t>외국어어학원, 학교교과교습학원(보습)</t>
  </si>
  <si>
    <t>김윤주</t>
  </si>
  <si>
    <t>02-565-0509</t>
  </si>
  <si>
    <t>elsgangnam@ybm.co.kr</t>
  </si>
  <si>
    <t>영인과학(주)</t>
  </si>
  <si>
    <t>김현철,이순길,이지민</t>
  </si>
  <si>
    <t>서울특별시 강남구 압구정로28길 22,6층(신사동,구정빌딩)</t>
  </si>
  <si>
    <t>서비스 도매 외</t>
  </si>
  <si>
    <t>오퍼상 수입의약품 외</t>
  </si>
  <si>
    <t>bill@youngin.com</t>
  </si>
  <si>
    <t>디케이엠텍 주식회사(DK M-TECH CO.,LTD.)</t>
  </si>
  <si>
    <t>차영문</t>
  </si>
  <si>
    <t>서울특별시 강남구 봉은사로 24길 74(역삼동)</t>
  </si>
  <si>
    <t>도매 제조 외</t>
  </si>
  <si>
    <t>무역 무선통신장비 외</t>
  </si>
  <si>
    <t>박나혜</t>
  </si>
  <si>
    <t>02-553-0181</t>
  </si>
  <si>
    <t>010-5124-4389</t>
  </si>
  <si>
    <t>dkmt_tax@naver.com</t>
  </si>
  <si>
    <t>(주)미디어아카데미</t>
  </si>
  <si>
    <t>신승호</t>
  </si>
  <si>
    <t>서울특별시 도봉구 노해로 341, 1215 (창동,신원리베르텔)</t>
  </si>
  <si>
    <t>산업교육</t>
  </si>
  <si>
    <t>김영자 팀장님</t>
    <phoneticPr fontId="7" type="noConversion"/>
  </si>
  <si>
    <t>02-992-2071</t>
  </si>
  <si>
    <t>010-8825-1186</t>
  </si>
  <si>
    <t>kyj@macademy.kr</t>
  </si>
  <si>
    <t>주식회사 태양기전</t>
  </si>
  <si>
    <t>박석배</t>
  </si>
  <si>
    <t>부산광역시 강서구 과학산단2로3번길 40 (지사동)</t>
  </si>
  <si>
    <t>기타전기장비,기타기계장비</t>
  </si>
  <si>
    <t>김현승</t>
  </si>
  <si>
    <t>051-974-0565</t>
  </si>
  <si>
    <t>010-9206-3162</t>
  </si>
  <si>
    <t>admin@worldtmc.com</t>
  </si>
  <si>
    <t>(주)마르시스</t>
  </si>
  <si>
    <t>박용규</t>
  </si>
  <si>
    <t>서울시 강남구 언주로85길 7. 2~6층(역삼동,서원빌딩)</t>
  </si>
  <si>
    <t>전자제품(셋톱박스)외</t>
  </si>
  <si>
    <t>02-3445-3999</t>
  </si>
  <si>
    <t>mjseo@marusys.com</t>
  </si>
  <si>
    <t>(주)단우에이앤에이건축사사무소</t>
  </si>
  <si>
    <t>이승권</t>
  </si>
  <si>
    <t>서울특별시 서초구 방배천로30길 27 (방배동,주홍빌딩 2,3,4층)</t>
  </si>
  <si>
    <t>설계및감리</t>
  </si>
  <si>
    <t>최아영</t>
  </si>
  <si>
    <t>02-2033-9119</t>
  </si>
  <si>
    <t>010-7482-3104</t>
  </si>
  <si>
    <t>aychoi@idanu.com</t>
  </si>
  <si>
    <t>사회복지법인한국혈우재단부산의원</t>
  </si>
  <si>
    <t>부산광역시 사상구 가야대로 272 .7층 (주례동, 메디칼센타)</t>
  </si>
  <si>
    <t>기타의료.기타병리실험서비스</t>
  </si>
  <si>
    <t>신성해운(주)</t>
  </si>
  <si>
    <t>박영규,박진주</t>
  </si>
  <si>
    <t>서울특별시 서초구 강남대로 329 (서초동, 산학협동재단빌딩 8층)</t>
  </si>
  <si>
    <t>운수업 서비스</t>
  </si>
  <si>
    <t>외항화물운송,내항화물운송,외항여객운송 외</t>
  </si>
  <si>
    <t>정인영</t>
  </si>
  <si>
    <t>02-6711-8115</t>
  </si>
  <si>
    <t>010-4821-8226</t>
  </si>
  <si>
    <t>plan@shinsung.com</t>
  </si>
  <si>
    <t>씨넵스 주식회사</t>
  </si>
  <si>
    <t>권철</t>
  </si>
  <si>
    <t>서울특별시 종로구 새문안로3길 36,1318호 (내수동, 용비어천가)</t>
  </si>
  <si>
    <t>서비스 제조 도소매</t>
  </si>
  <si>
    <t>상품권 매매 외</t>
  </si>
  <si>
    <t>권철 대표님</t>
  </si>
  <si>
    <t>070-7683-4589</t>
  </si>
  <si>
    <t>chul5374@cnapse.co.kr</t>
  </si>
  <si>
    <t>(주)삼우엠이피컨설턴트</t>
  </si>
  <si>
    <t>이종형,김기성</t>
  </si>
  <si>
    <t>서울시 성동구 아차산로15길 52 (성수동2가, 삼환디지털벤처타워 503호)</t>
  </si>
  <si>
    <t>설계용역및감리 T.A.B용역 외</t>
  </si>
  <si>
    <t>정한이</t>
  </si>
  <si>
    <t>02-404-8111</t>
  </si>
  <si>
    <t>010-4664-7870</t>
  </si>
  <si>
    <t>smc@smcl.co.kr</t>
  </si>
  <si>
    <t>(주)크리젠솔루션</t>
  </si>
  <si>
    <t>허선행</t>
  </si>
  <si>
    <t>서울특별시 구로구 디지털로 306, 10층 1006호, 1007호 (구로동, 대륭포스트타워2차)</t>
  </si>
  <si>
    <t>서비스,부동산</t>
  </si>
  <si>
    <t>소프트웨어개발,공급및유지보수, 임대</t>
  </si>
  <si>
    <t>류지선</t>
  </si>
  <si>
    <t>02-3452-5952</t>
  </si>
  <si>
    <t>tax@crizen.com</t>
  </si>
  <si>
    <t>주식회사 엠에스캐피탈대부중개</t>
  </si>
  <si>
    <t>권혜진</t>
  </si>
  <si>
    <t>서울시 관악구 남부순환로 1931(봉천동, 8층)</t>
  </si>
  <si>
    <t>대부중개</t>
  </si>
  <si>
    <t>박재원</t>
  </si>
  <si>
    <t>010-4384-0144</t>
  </si>
  <si>
    <t>redrecon@naver.com</t>
  </si>
  <si>
    <t>(주)케이에스한국고용정보</t>
  </si>
  <si>
    <t>손영득, 허대건</t>
  </si>
  <si>
    <t>서울특별시 강동구 고덕비즈밸리로 38(고덕동)</t>
  </si>
  <si>
    <t>서비스,부동산업 외</t>
  </si>
  <si>
    <t>콜센터 및 텔레마케팅 외</t>
  </si>
  <si>
    <t>김신학</t>
  </si>
  <si>
    <t>010-3886-1279</t>
  </si>
  <si>
    <t>bill.it@ksjob.co.kr</t>
  </si>
  <si>
    <t>아람 바이오시스템(주)</t>
  </si>
  <si>
    <t>황현진</t>
  </si>
  <si>
    <t>서울특별시 성동구 아차산로 103 영동테크노타워 1203호</t>
  </si>
  <si>
    <t>제조 도 소매</t>
  </si>
  <si>
    <t>생명과학관련기술개발및판매</t>
  </si>
  <si>
    <t>김성태</t>
  </si>
  <si>
    <t>02-469-3760</t>
  </si>
  <si>
    <t>010-3241-4492</t>
  </si>
  <si>
    <t>stkim@ahrambio.com</t>
  </si>
  <si>
    <t>(주)남양인터내셔날</t>
  </si>
  <si>
    <t>홍진수,홍경백</t>
  </si>
  <si>
    <t>서울특별시 성동구 뚝섬로1길 63, 7층 701호(성수동1가,영창디지털타워)</t>
  </si>
  <si>
    <t>제조업 소매업</t>
  </si>
  <si>
    <t>의류 전자상거래업</t>
  </si>
  <si>
    <t>유민지</t>
  </si>
  <si>
    <t>02-2191-3417</t>
  </si>
  <si>
    <t>hr@namyang-intl.com</t>
  </si>
  <si>
    <t>진성기숙학원</t>
  </si>
  <si>
    <t>차정익</t>
  </si>
  <si>
    <t>경기도 광명시 목감로 254(광명동)</t>
  </si>
  <si>
    <t>입시학원</t>
  </si>
  <si>
    <t>010-3377-9498</t>
  </si>
  <si>
    <t>jcha1234@naver.com</t>
  </si>
  <si>
    <t>하나에프앤아이 주식회사</t>
  </si>
  <si>
    <t>강동훈</t>
  </si>
  <si>
    <t>서울특별시 중구 을지로 66,11층 (을지로2가, 하나은행)</t>
  </si>
  <si>
    <t>기타금융업, 유동화자산관리</t>
  </si>
  <si>
    <t>최가연</t>
  </si>
  <si>
    <t>02-3708-2171</t>
  </si>
  <si>
    <t>010-4136-6830</t>
  </si>
  <si>
    <t>taxbill@hanafn.com</t>
  </si>
  <si>
    <t>(주)코아시스템즈</t>
  </si>
  <si>
    <t>김용준</t>
  </si>
  <si>
    <t>경기도 수원시 권선구 산업로156번길 197-17 , 1층 (고색동)</t>
  </si>
  <si>
    <t>평판디스플레이제조용기계제조업</t>
  </si>
  <si>
    <t>김서우 책임님</t>
  </si>
  <si>
    <t>swkim4@core-systems.co.kr</t>
  </si>
  <si>
    <t>주식회사 더좋은비즈</t>
  </si>
  <si>
    <t>서울 강남구 테헤란로33길 18 5,6층 (역삼동, 서울철강빌딩)</t>
  </si>
  <si>
    <t>투자자문, 경영컨설팅 외</t>
  </si>
  <si>
    <t>02-555-8770</t>
  </si>
  <si>
    <t>스파르타 이매점 독서실</t>
  </si>
  <si>
    <t>임도규</t>
  </si>
  <si>
    <t>경기도 성남시 분당구 판교로 446 , 202호 (이매동, 그린프라자)</t>
  </si>
  <si>
    <t>독서실 운영업</t>
  </si>
  <si>
    <t>010-8872-4040</t>
  </si>
  <si>
    <t>patterm00@naver.com</t>
  </si>
  <si>
    <t>(주)엠맥스대부중개</t>
  </si>
  <si>
    <t>김경환</t>
  </si>
  <si>
    <t>경기도 부천시 원미구 신흥로 167, 204호(중동,신영빌딩)</t>
  </si>
  <si>
    <t>금융업 서비스업</t>
  </si>
  <si>
    <t>대부중개 광고대행</t>
  </si>
  <si>
    <t>김연주</t>
  </si>
  <si>
    <t>032-0000-0000</t>
  </si>
  <si>
    <t>010-2758-8470</t>
  </si>
  <si>
    <t>mmax0823@naver.com</t>
  </si>
  <si>
    <t>에이치원커뮤니케이션즈 주식회사</t>
  </si>
  <si>
    <t>주현준</t>
  </si>
  <si>
    <t>경기도 성남시 분당구 정자일로 177, C동 16층(정자동, 인텔리지Ⅱ)</t>
  </si>
  <si>
    <t>소프트웨어개발</t>
  </si>
  <si>
    <t>031-717-7410</t>
  </si>
  <si>
    <t>010-3699-7410</t>
  </si>
  <si>
    <t>deepbluehead@gmail.com</t>
  </si>
  <si>
    <t>아우시스템(주)</t>
  </si>
  <si>
    <t>최희철</t>
  </si>
  <si>
    <t>서울특별시 금천구 가산디지털2로 101 한라원앤원타워 A동 1401-1411호</t>
  </si>
  <si>
    <t>김희정</t>
  </si>
  <si>
    <t>070-7164-0308</t>
  </si>
  <si>
    <t>awoo@awoo.co.kr</t>
  </si>
  <si>
    <t>주식회사 더좋은 신논현점</t>
  </si>
  <si>
    <t>서울 강남구 강남대로 502 (논현동, 지상8층)</t>
  </si>
  <si>
    <t>사단법인 정보통신 미래모임</t>
  </si>
  <si>
    <t>임춘성</t>
  </si>
  <si>
    <t>서울특별시 서대문구 연세로 50, 연세공학원 315호(신촌동, 연세공학원)</t>
  </si>
  <si>
    <t>자문료</t>
  </si>
  <si>
    <t>공숙경</t>
  </si>
  <si>
    <t>02-363-0410</t>
  </si>
  <si>
    <t>010-8184-9159</t>
  </si>
  <si>
    <t>skk@itr.re.kr</t>
  </si>
  <si>
    <t>BOOKANDBOOK(북앤북)</t>
  </si>
  <si>
    <t>김진관</t>
  </si>
  <si>
    <t>경기도 파주시 월롱면 도내리 410-9번지</t>
  </si>
  <si>
    <t>물류 유통</t>
  </si>
  <si>
    <t>피지숙</t>
  </si>
  <si>
    <t>070-7727-1354</t>
  </si>
  <si>
    <t>010-5509-7295</t>
  </si>
  <si>
    <t>book5k@empas.com</t>
  </si>
  <si>
    <t>주식회사 더좋은</t>
  </si>
  <si>
    <t>서울 서초구 강남대로 341 삼원빌딩 8층</t>
  </si>
  <si>
    <t>부동산업</t>
  </si>
  <si>
    <t>부동산개발, 투자</t>
  </si>
  <si>
    <t>아란타(주)</t>
  </si>
  <si>
    <t>윤상권</t>
  </si>
  <si>
    <t>서울특별시 영등포구 선유로 70, 706호,707호 (문래동3가, 우리벤처타운2)</t>
  </si>
  <si>
    <t>오지인</t>
  </si>
  <si>
    <t>02-325-0303</t>
  </si>
  <si>
    <t>010-7322-7477</t>
  </si>
  <si>
    <t>jiin0526@ahranta.com</t>
  </si>
  <si>
    <t>주식회사 미소테크</t>
  </si>
  <si>
    <t>진병삼</t>
  </si>
  <si>
    <t>서울특별시 구로구 디지털로 26길 43, 알동 1107호(대륭포스트타워8차)</t>
  </si>
  <si>
    <t>소프트웨어개발,디비구축,정보서비스 외</t>
  </si>
  <si>
    <t>김정선</t>
  </si>
  <si>
    <t>02-6124-5788</t>
  </si>
  <si>
    <t>010-9076-2610</t>
  </si>
  <si>
    <t>jskim@misotech.net</t>
  </si>
  <si>
    <t>인도네시아느가라은행 서울지점</t>
  </si>
  <si>
    <t>HUSIN ANISFU ZAHRI</t>
  </si>
  <si>
    <t>서울특별시 중구 세종대로 39 , 2층 ,5층 (남대문로4가, 대한서울상공회의소)</t>
  </si>
  <si>
    <t>은행업</t>
  </si>
  <si>
    <t>오재준</t>
  </si>
  <si>
    <t>02-6050-1941</t>
  </si>
  <si>
    <t>jaejoon.oh@bniseoul.co.kr</t>
  </si>
  <si>
    <t>모두병원</t>
  </si>
  <si>
    <t>임대의 외 1명</t>
  </si>
  <si>
    <t>인천광역시 남동구 논고개로 88(논현동)</t>
  </si>
  <si>
    <t>박성진</t>
  </si>
  <si>
    <t>032-430-0986</t>
  </si>
  <si>
    <t>medenhosp@hanmail.net</t>
  </si>
  <si>
    <t>(주)제이에스와이팩토리</t>
  </si>
  <si>
    <t>정소영</t>
  </si>
  <si>
    <t>서울특별시 강남구 선릉로 116길 8(삼성동,조영빌딩 6층)</t>
  </si>
  <si>
    <t>인터넷광고및광고대행 외</t>
  </si>
  <si>
    <t>정희정</t>
  </si>
  <si>
    <t>070-8765-0690</t>
  </si>
  <si>
    <t>010-3579-4579</t>
  </si>
  <si>
    <t>parksunghoda@hanmail.net</t>
  </si>
  <si>
    <t>주식회사썬테크노이십일</t>
  </si>
  <si>
    <t>유연호</t>
  </si>
  <si>
    <t>서울특별시 서초구 양재천로13길 21, 401호(양재동, 영인빌딩)</t>
  </si>
  <si>
    <t>컴퓨터및주변기기, 수출입 외</t>
  </si>
  <si>
    <t>임유리</t>
  </si>
  <si>
    <t>02-3462-6970</t>
  </si>
  <si>
    <t>ylim@stn21.co.kr</t>
  </si>
  <si>
    <t>(주)동방아그로</t>
  </si>
  <si>
    <t>염병만,염병진</t>
  </si>
  <si>
    <t>서울특별시 관악구 남부순환로 2028 (남현동)</t>
  </si>
  <si>
    <t>농약</t>
  </si>
  <si>
    <t>02-580-3775</t>
  </si>
  <si>
    <t>dbtax04@dbagro.co.kr</t>
  </si>
  <si>
    <t>주식회사 윤디자인</t>
  </si>
  <si>
    <t>윤영호, 조성민</t>
  </si>
  <si>
    <t>서울특별시 마포구 독막로9길 13(서교동,윤디자인빌딩)</t>
  </si>
  <si>
    <t>서비스 제조업 외</t>
  </si>
  <si>
    <t>윤태현</t>
  </si>
  <si>
    <t>02-2287-6710</t>
  </si>
  <si>
    <t>010-3101-9613</t>
  </si>
  <si>
    <t>dreamaek@yoondesigngroup.com</t>
  </si>
  <si>
    <t>케이에스신용정보 주식회사</t>
  </si>
  <si>
    <t>유재중</t>
  </si>
  <si>
    <t>서울특별시 강남구 영동대로112길 66, 6층 (삼성동, 아메리칸스탠다드빌딩)</t>
  </si>
  <si>
    <t>금융업(서비스) 서비스</t>
  </si>
  <si>
    <t>채권추심대행 신용조사</t>
  </si>
  <si>
    <t>방준호</t>
  </si>
  <si>
    <t>02-6454-2100</t>
  </si>
  <si>
    <t>010-5020-3343</t>
  </si>
  <si>
    <t>junho.bang@ksjob.co.kr</t>
  </si>
  <si>
    <t>(주)코리아엔지니어링</t>
  </si>
  <si>
    <t>황경자</t>
  </si>
  <si>
    <t>서울특별시 금천구 디지털로9길 47, 302호(가산동, 한신IT 타워2차)</t>
  </si>
  <si>
    <t>서비스 건설</t>
  </si>
  <si>
    <t>건축엔지니어링및관련기술서비스</t>
  </si>
  <si>
    <t>강유진</t>
  </si>
  <si>
    <t>02-865-6034</t>
  </si>
  <si>
    <t>koen2001@koen-e.com</t>
  </si>
  <si>
    <t>(주)써스포</t>
  </si>
  <si>
    <t>강창호</t>
  </si>
  <si>
    <t>서울특별시 성동구 상원1길 26,710호(성수동1가, 서울숲A타워)</t>
  </si>
  <si>
    <t>자료처리 외</t>
  </si>
  <si>
    <t>02-2057-8060</t>
  </si>
  <si>
    <t>tax@sus4.co.kr</t>
  </si>
  <si>
    <t>썬라이더다이렉트코리아 유한회사</t>
  </si>
  <si>
    <t>TEIFU CHEN(테이푸첸)</t>
  </si>
  <si>
    <t>서울특별시 강남구 선릉로 615 3층 (논현동, 썬라이더빌딩)</t>
  </si>
  <si>
    <t>건강식품 화장품 무역 기타</t>
  </si>
  <si>
    <t>안영란</t>
  </si>
  <si>
    <t>010-3791-3061</t>
  </si>
  <si>
    <t>youngran.ahn@sunriderkorea.co.kr</t>
  </si>
  <si>
    <t>(주)이라스원</t>
  </si>
  <si>
    <t>유선정</t>
  </si>
  <si>
    <t>서울특별시 구로구 디지털로 272, 3층 314호(구로동, 한산아이티타워)</t>
  </si>
  <si>
    <t>도소매,서비스</t>
  </si>
  <si>
    <t>컴퓨터주변기기,소프트웨어개발</t>
  </si>
  <si>
    <t>김지수</t>
  </si>
  <si>
    <t>02-868-3421</t>
  </si>
  <si>
    <t>010-6690-4347</t>
  </si>
  <si>
    <t>tax1@erasone.com</t>
  </si>
  <si>
    <t>김서우</t>
  </si>
  <si>
    <t>031-430-8025</t>
  </si>
  <si>
    <t>010-9974-1745</t>
  </si>
  <si>
    <t>(주)세븐앤캐시대부중개</t>
  </si>
  <si>
    <t>민창민</t>
  </si>
  <si>
    <t>경기도 부천시 신흥로 161 (중동, CDS빌딩 10층)</t>
  </si>
  <si>
    <t>서비스(금융업) 제조업 외</t>
  </si>
  <si>
    <t>대부중개업 외</t>
  </si>
  <si>
    <t>032-324-0140</t>
  </si>
  <si>
    <t>nateloan1@naver.com</t>
  </si>
  <si>
    <t>(주)그린피아코스메틱</t>
  </si>
  <si>
    <t>김기원</t>
  </si>
  <si>
    <t>서울특별시 송파구 도곡로 458 연두빌딩 2층</t>
  </si>
  <si>
    <t>화장품 건강식품외</t>
  </si>
  <si>
    <t>최민애</t>
  </si>
  <si>
    <t>02-546-0651</t>
  </si>
  <si>
    <t>gtax@gpia.co.kr</t>
  </si>
  <si>
    <t>안영란 차장님</t>
  </si>
  <si>
    <t>열린중앙병원</t>
  </si>
  <si>
    <t>안동진</t>
  </si>
  <si>
    <t>대구 달성군 논공읍 논공로 743</t>
  </si>
  <si>
    <t>병원</t>
  </si>
  <si>
    <t>이위숙</t>
  </si>
  <si>
    <t>053-614-0075</t>
  </si>
  <si>
    <t>sook7530@hanmail.net</t>
  </si>
  <si>
    <t>주식회사 평화아이씨티</t>
  </si>
  <si>
    <t>김명곤</t>
  </si>
  <si>
    <t>경기도 남양주시 순화궁로 249 엔동 712호 (별내동, 별내역파라곤스퀘어)</t>
  </si>
  <si>
    <t>정보통신업, 도매 및 소매업</t>
  </si>
  <si>
    <t>응용 소프트웨어 개발 및 공급업 외</t>
  </si>
  <si>
    <t>서정식</t>
  </si>
  <si>
    <t>031-557-6847</t>
  </si>
  <si>
    <t>010-4584-6172</t>
  </si>
  <si>
    <t>raagnes20@hanmail.net</t>
  </si>
  <si>
    <t>주식회사 아키오피스</t>
  </si>
  <si>
    <t>오영수</t>
  </si>
  <si>
    <t>서울특별시 서초구 동산로16길 55 (양재동)</t>
  </si>
  <si>
    <t>02-3461-6868</t>
  </si>
  <si>
    <t>archi_o@naver.com</t>
  </si>
  <si>
    <t>주식회사 델리커뮤니케이션</t>
  </si>
  <si>
    <t>김현주</t>
  </si>
  <si>
    <t>서울특별시 중구 장교동 1번지 장교빌딩 1406호</t>
  </si>
  <si>
    <t>070-7865-3307</t>
  </si>
  <si>
    <t>hdju@hscook.com</t>
  </si>
  <si>
    <t>(주)유로사이언스</t>
  </si>
  <si>
    <t>김문일</t>
  </si>
  <si>
    <t>경기 성남시 중원구 상대원동 311-3 성남우림라이온스밸리 1차 8층 814.815.816호</t>
  </si>
  <si>
    <t>서비스부동산</t>
  </si>
  <si>
    <t>오퍼상전대</t>
  </si>
  <si>
    <t>이영규</t>
  </si>
  <si>
    <t>031-737-2260</t>
  </si>
  <si>
    <t>010-3278-9432</t>
  </si>
  <si>
    <t>yklee@euroscience.co.kr</t>
  </si>
  <si>
    <t>주식회사 모네다대부</t>
  </si>
  <si>
    <t>위범량</t>
  </si>
  <si>
    <t>서울특별시 노원구 동일로178길 19-38, 504호 (공릉동, 연세빌딩)</t>
  </si>
  <si>
    <t>대부업 외</t>
  </si>
  <si>
    <t>황규리</t>
  </si>
  <si>
    <t>070-5014-4338</t>
  </si>
  <si>
    <t>moneda1661@gmail.com</t>
  </si>
  <si>
    <t>(주)아침해파이낸셜대부</t>
  </si>
  <si>
    <t>권미희</t>
  </si>
  <si>
    <t>경기도 고양시 덕양구 권율대로 671, 상가동 203호(원흥동,원흥역푸르지오)</t>
  </si>
  <si>
    <t>금융업, 금융 및 보험업</t>
  </si>
  <si>
    <t>대부업, 대부중개</t>
  </si>
  <si>
    <t>010-9003-9444</t>
  </si>
  <si>
    <t>admin@sunfnc.com</t>
  </si>
  <si>
    <t>(주)엠에이피건축종합건축사사무소</t>
  </si>
  <si>
    <t>한일호,정형무</t>
  </si>
  <si>
    <t>서울특별시 서초구 바우뫼로18길 19 (양재동)</t>
  </si>
  <si>
    <t>건축관련기술서비스,임대</t>
  </si>
  <si>
    <t>신현용</t>
  </si>
  <si>
    <t>02-520-9362</t>
  </si>
  <si>
    <t>010-9047-7541</t>
  </si>
  <si>
    <t>account@mapgroup.co.kr</t>
  </si>
  <si>
    <t>현대병원</t>
  </si>
  <si>
    <t>박현서</t>
  </si>
  <si>
    <t>충남 아산시 온천동 220-16 현대병원</t>
  </si>
  <si>
    <t>내과,외과외</t>
  </si>
  <si>
    <t>윤태영</t>
  </si>
  <si>
    <t>041-546-3686</t>
  </si>
  <si>
    <t>hdh5463686@naver.com</t>
  </si>
  <si>
    <t>(주)썬앤문로지스틱스</t>
  </si>
  <si>
    <t>배용조</t>
  </si>
  <si>
    <t>서울특별시 영등포구 문래로 83, 108호 (문래동3가, 아라비즈타워)</t>
  </si>
  <si>
    <t>항공,해상화물운송 주선업/창고보관관리업</t>
  </si>
  <si>
    <t>방우선</t>
  </si>
  <si>
    <t>02-2165-2323</t>
  </si>
  <si>
    <t>010-4010-7765</t>
  </si>
  <si>
    <t>wsbang@smls.co.kr</t>
  </si>
  <si>
    <t>(주)론테크대부</t>
  </si>
  <si>
    <t>현인수</t>
  </si>
  <si>
    <t>서울특별시 강남구 선릉로112길 12-2, 302호 (삼성동, 호암빌딩)</t>
  </si>
  <si>
    <t>금융 및 보험업 외</t>
  </si>
  <si>
    <t>010-3669-5529</t>
  </si>
  <si>
    <t>loanch@nate.com</t>
  </si>
  <si>
    <t>(주)핸들포유</t>
  </si>
  <si>
    <t>이범주</t>
  </si>
  <si>
    <t>경기도 성남시 수정구 위례광장로 19 (창곡동, 아이페리온 1004호)</t>
  </si>
  <si>
    <t>운전대행</t>
  </si>
  <si>
    <t>최춘식</t>
  </si>
  <si>
    <t>02-703-2489</t>
  </si>
  <si>
    <t>010-3223-7108</t>
  </si>
  <si>
    <t>ccs@handle4u.com</t>
  </si>
  <si>
    <t>청구</t>
  </si>
  <si>
    <t>10M 보장 사용료</t>
  </si>
  <si>
    <t>서비스 이용료</t>
  </si>
  <si>
    <t>Giga_VPN 100M 사용료</t>
  </si>
  <si>
    <t>FG 60F 임대비</t>
  </si>
  <si>
    <t>UTM_NAC 서비스 사용료</t>
  </si>
  <si>
    <t>Giga_VPN 사용료</t>
  </si>
  <si>
    <t>Giga_VPN 30M 사용료</t>
  </si>
  <si>
    <t>PALOALTO PA-410 임대비</t>
  </si>
  <si>
    <t>2U 사용료</t>
  </si>
  <si>
    <t>5M 보장 사용료</t>
  </si>
  <si>
    <t>FG 80E 임대비</t>
  </si>
  <si>
    <t>FG 50E 임대비</t>
  </si>
  <si>
    <t>보안관제서비스 사용료</t>
  </si>
  <si>
    <t>BLUEMAX NGF 100B 임대비</t>
  </si>
  <si>
    <t>Giga_VPN 200M 사용료</t>
  </si>
  <si>
    <t>FG 60E 임대비</t>
  </si>
  <si>
    <t>Giga_VPN 1G 사용료</t>
  </si>
  <si>
    <t>Giga_VPN 500M 사용료</t>
  </si>
  <si>
    <t>Giga_Metro 30M 사용료</t>
  </si>
  <si>
    <t>20M Dedi 사용료</t>
  </si>
  <si>
    <t>1U 사용료</t>
  </si>
  <si>
    <t>FG 40F 임대비</t>
  </si>
  <si>
    <t>KT 회선 사용료</t>
  </si>
  <si>
    <t>FG 60 임대비</t>
  </si>
  <si>
    <t>PALOALTO PA-450 임대비</t>
  </si>
  <si>
    <t>200M Dedi 사용료</t>
  </si>
  <si>
    <t>Hi-officeNET_FG90D 임대비</t>
  </si>
  <si>
    <t>Giga_Metro 50M 사용료</t>
  </si>
  <si>
    <t>메일호스팅(MAX) 사용료</t>
  </si>
  <si>
    <t>서버유지보수 사용료</t>
  </si>
  <si>
    <t>IDC 회선료 사용료</t>
  </si>
  <si>
    <t>랜버드 1121 임대비</t>
  </si>
  <si>
    <t>FullRack 임대비</t>
  </si>
  <si>
    <t>100M 사용료</t>
  </si>
  <si>
    <t>Giga_Metro 200M 사용료</t>
  </si>
  <si>
    <t>FG 60B 임대비</t>
  </si>
  <si>
    <t>메일호스팅 사용료</t>
  </si>
  <si>
    <t>FG 100E 임대비</t>
  </si>
  <si>
    <t>FGT 60F 임대비</t>
  </si>
  <si>
    <t>DB암호화(ECHELON) 임대비</t>
  </si>
  <si>
    <t>Giga_VPN 60M 사용료</t>
  </si>
  <si>
    <t>FG 80F 임대비</t>
  </si>
  <si>
    <t>네트워크 서비스 사용료</t>
  </si>
  <si>
    <t>MyVPN 사용료</t>
  </si>
  <si>
    <t>GigaVPN 임대비</t>
  </si>
  <si>
    <t>HEP DL20 Gen10 임대비</t>
  </si>
  <si>
    <t>FG 80C 임대비</t>
  </si>
  <si>
    <t>보안존 서비스 사용료</t>
  </si>
  <si>
    <t>1/4Rack 사용료</t>
  </si>
  <si>
    <t>FG 61F 임대비</t>
  </si>
  <si>
    <t>Hi-officeNET_FG60E 사용료</t>
  </si>
  <si>
    <t>Giga_Metro 100M 사용료</t>
  </si>
  <si>
    <t>FG 200E 임대비</t>
  </si>
  <si>
    <t>Giga_Metro 500M 사용료</t>
  </si>
  <si>
    <t>10M Dedi 사용료</t>
  </si>
  <si>
    <t>BLUEMAX NGF 200B 임대비</t>
  </si>
  <si>
    <t>30M Dedi 사용료</t>
  </si>
  <si>
    <t>Giga_VPN 20M 사용료</t>
  </si>
  <si>
    <t>FGT_VPN 임대비</t>
  </si>
  <si>
    <t>Giga_Metro 사용료</t>
  </si>
  <si>
    <t>CISCO_ISR4331 임대비</t>
  </si>
  <si>
    <t>Giga_VPN Bussines 사용료</t>
  </si>
  <si>
    <t>Hi-officeNET 사용료</t>
  </si>
  <si>
    <t>아크로닉스_백업서비스 사용료</t>
  </si>
  <si>
    <t>100M Share 사용료</t>
  </si>
  <si>
    <t>2U 임대비</t>
  </si>
  <si>
    <t>1U 임대비</t>
  </si>
  <si>
    <t>4U 임대비</t>
  </si>
  <si>
    <t>BLUEMAX NGF 300B 임대비</t>
  </si>
  <si>
    <t>1/2Rack 임대비</t>
  </si>
  <si>
    <t>SECUI NGF 200B 임대비</t>
  </si>
  <si>
    <t>랜버드 1004 임대비</t>
  </si>
  <si>
    <t>3U 임대비</t>
  </si>
  <si>
    <t>Metro_50M 사용료</t>
  </si>
  <si>
    <t>FG 30D 임대비</t>
  </si>
  <si>
    <t>메일호스팅 부가사용료</t>
  </si>
  <si>
    <t>Giga_Metro 10M 사용료</t>
  </si>
  <si>
    <t>SPLA_WinSvrStd 임대비</t>
  </si>
  <si>
    <t>웹방화벽_Wapple 160 임대비</t>
  </si>
  <si>
    <t>FG 40C 임대비</t>
  </si>
  <si>
    <t>1/4Rack 임대비</t>
  </si>
  <si>
    <t>기타회선 사용료</t>
  </si>
  <si>
    <t>UTM_Vforce 500 임대비</t>
  </si>
  <si>
    <t>IP세팅비 사용료</t>
  </si>
  <si>
    <t>SPLA 임대비</t>
  </si>
  <si>
    <t>TiFRONT- G2128 임대비</t>
  </si>
  <si>
    <t>DELL R350 임대비</t>
  </si>
  <si>
    <t>HP DL20G11 임대비</t>
  </si>
  <si>
    <t>10M 보장 임대비</t>
  </si>
  <si>
    <t>GigaVPN 1500 임대비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</si>
</sst>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indexed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4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9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06"/>
  <sheetViews>
    <sheetView tabSelected="1" topLeftCell="AQ1" zoomScaleNormal="100" workbookViewId="0">
      <selection activeCell="BG5" sqref="BG5"/>
    </sheetView>
  </sheetViews>
  <sheetFormatPr defaultColWidth="9" defaultRowHeight="13.5" x14ac:dyDescent="0.3"/>
  <cols>
    <col min="1" max="1" width="9.625" style="1" customWidth="1"/>
    <col min="2" max="2" width="9.5" style="2" customWidth="1"/>
    <col min="3" max="3" width="13.75" style="2" customWidth="1"/>
    <col min="4" max="4" width="11.375" style="2" customWidth="1"/>
    <col min="5" max="8" width="15.375" style="2" customWidth="1"/>
    <col min="9" max="9" width="16.75" style="1" bestFit="1" customWidth="1"/>
    <col min="10" max="10" width="11.25" style="2" customWidth="1"/>
    <col min="11" max="11" width="11.375" style="2" customWidth="1"/>
    <col min="12" max="12" width="11.25" style="2" bestFit="1" customWidth="1"/>
    <col min="13" max="19" width="11.125" style="2" bestFit="1" customWidth="1"/>
    <col min="20" max="22" width="11.125" style="2" customWidth="1"/>
    <col min="23" max="23" width="12.875" style="2" customWidth="1"/>
    <col min="24" max="24" width="11.75" style="2" bestFit="1" customWidth="1"/>
    <col min="25" max="26" width="9" style="2"/>
    <col min="27" max="27" width="11.25" style="2" bestFit="1" customWidth="1"/>
    <col min="28" max="28" width="8.375" style="2" customWidth="1"/>
    <col min="29" max="29" width="8.5" style="2" customWidth="1"/>
    <col min="30" max="30" width="8.375" style="2" customWidth="1"/>
    <col min="31" max="31" width="12.125" style="2" customWidth="1"/>
    <col min="32" max="32" width="11" style="1" customWidth="1"/>
    <col min="33" max="33" width="8.25" style="2" bestFit="1" customWidth="1"/>
    <col min="34" max="35" width="12.25" style="2" bestFit="1" customWidth="1"/>
    <col min="36" max="36" width="9" style="2"/>
    <col min="37" max="38" width="10.375" style="2" bestFit="1" customWidth="1"/>
    <col min="39" max="39" width="11.875" style="2" bestFit="1" customWidth="1"/>
    <col min="40" max="40" width="12.25" style="2" bestFit="1" customWidth="1"/>
    <col min="41" max="41" width="9" style="2"/>
    <col min="42" max="43" width="12.25" style="2" bestFit="1" customWidth="1"/>
    <col min="44" max="45" width="9" style="2"/>
    <col min="46" max="46" width="10.375" style="2" bestFit="1" customWidth="1"/>
    <col min="47" max="48" width="12.25" style="2" bestFit="1" customWidth="1"/>
    <col min="49" max="49" width="9" style="2"/>
    <col min="50" max="50" width="12.25" style="2" bestFit="1" customWidth="1"/>
    <col min="51" max="51" width="7.875" style="2" bestFit="1" customWidth="1"/>
    <col min="52" max="52" width="8.875" style="2" bestFit="1" customWidth="1"/>
    <col min="53" max="54" width="9" style="2"/>
    <col min="55" max="56" width="10.375" style="2" bestFit="1" customWidth="1"/>
    <col min="57" max="57" width="10.125" style="2" bestFit="1" customWidth="1"/>
    <col min="58" max="58" width="12.25" style="2" bestFit="1" customWidth="1"/>
    <col min="59" max="59" width="11.375" style="2" customWidth="1"/>
    <col min="60" max="60" width="10.125" style="2" bestFit="1" customWidth="1"/>
    <col min="61" max="61" width="12.25" style="2" bestFit="1" customWidth="1"/>
    <col min="62" max="62" width="11.375" style="2" customWidth="1"/>
    <col min="63" max="63" width="21.375" style="2" customWidth="1"/>
    <col min="64" max="64" width="7.875" style="2" customWidth="1"/>
    <col min="65" max="66" width="9" style="2"/>
    <col min="67" max="68" width="10.375" style="2" bestFit="1" customWidth="1"/>
    <col min="69" max="69" width="10.125" style="2" bestFit="1" customWidth="1"/>
    <col min="70" max="70" width="9" style="2"/>
    <col min="71" max="71" width="9.875" style="2" bestFit="1" customWidth="1"/>
    <col min="72" max="72" width="17.375" style="2" customWidth="1"/>
    <col min="73" max="16384" width="9" style="2"/>
  </cols>
  <sheetData>
    <row r="1" spans="1:62" ht="28.9" customHeight="1" x14ac:dyDescent="0.3">
      <c r="A1" s="1" t="s">
        <v>0</v>
      </c>
    </row>
    <row r="2" spans="1:62" ht="17.45" customHeight="1" x14ac:dyDescent="0.3">
      <c r="A2" s="17" t="s">
        <v>1</v>
      </c>
      <c r="B2" s="19" t="s">
        <v>2</v>
      </c>
      <c r="C2" s="19" t="s">
        <v>3</v>
      </c>
      <c r="D2" s="21" t="s">
        <v>4</v>
      </c>
      <c r="E2" s="13" t="s">
        <v>11</v>
      </c>
      <c r="F2" s="13" t="s">
        <v>12</v>
      </c>
      <c r="G2" s="13" t="s">
        <v>13</v>
      </c>
      <c r="H2" s="15" t="s">
        <v>5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6" t="s">
        <v>6</v>
      </c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1" t="s">
        <v>57</v>
      </c>
      <c r="BD2" s="11" t="s">
        <v>58</v>
      </c>
      <c r="BE2" s="11" t="s">
        <v>59</v>
      </c>
      <c r="BF2" s="11" t="s">
        <v>60</v>
      </c>
      <c r="BG2" s="11" t="s">
        <v>61</v>
      </c>
      <c r="BH2" s="11" t="s">
        <v>62</v>
      </c>
      <c r="BI2" s="11" t="s">
        <v>63</v>
      </c>
      <c r="BJ2" s="11" t="s">
        <v>64</v>
      </c>
    </row>
    <row r="3" spans="1:62" ht="54" customHeight="1" x14ac:dyDescent="0.3">
      <c r="A3" s="18"/>
      <c r="B3" s="20"/>
      <c r="C3" s="20"/>
      <c r="D3" s="13"/>
      <c r="E3" s="14"/>
      <c r="F3" s="14"/>
      <c r="G3" s="14"/>
      <c r="H3" s="3" t="s">
        <v>14</v>
      </c>
      <c r="I3" s="4" t="s">
        <v>15</v>
      </c>
      <c r="J3" s="3" t="s">
        <v>16</v>
      </c>
      <c r="K3" s="3" t="s">
        <v>17</v>
      </c>
      <c r="L3" s="5" t="s">
        <v>18</v>
      </c>
      <c r="M3" s="4" t="s">
        <v>19</v>
      </c>
      <c r="N3" s="4" t="s">
        <v>20</v>
      </c>
      <c r="O3" s="3" t="s">
        <v>21</v>
      </c>
      <c r="P3" s="3" t="s">
        <v>22</v>
      </c>
      <c r="Q3" s="4" t="s">
        <v>23</v>
      </c>
      <c r="R3" s="4" t="s">
        <v>24</v>
      </c>
      <c r="S3" s="5" t="s">
        <v>25</v>
      </c>
      <c r="T3" s="5" t="s">
        <v>26</v>
      </c>
      <c r="U3" s="4" t="s">
        <v>27</v>
      </c>
      <c r="V3" s="4" t="s">
        <v>28</v>
      </c>
      <c r="W3" s="6" t="s">
        <v>7</v>
      </c>
      <c r="X3" s="3" t="s">
        <v>29</v>
      </c>
      <c r="Y3" s="10" t="s">
        <v>30</v>
      </c>
      <c r="Z3" s="10" t="s">
        <v>31</v>
      </c>
      <c r="AA3" s="10" t="s">
        <v>32</v>
      </c>
      <c r="AB3" s="3" t="s">
        <v>33</v>
      </c>
      <c r="AC3" s="3" t="s">
        <v>34</v>
      </c>
      <c r="AD3" s="4" t="s">
        <v>35</v>
      </c>
      <c r="AE3" s="7" t="s">
        <v>8</v>
      </c>
      <c r="AF3" s="5" t="s">
        <v>36</v>
      </c>
      <c r="AG3" s="7" t="s">
        <v>37</v>
      </c>
      <c r="AH3" s="7" t="s">
        <v>38</v>
      </c>
      <c r="AI3" s="7" t="s">
        <v>39</v>
      </c>
      <c r="AJ3" s="5" t="s">
        <v>40</v>
      </c>
      <c r="AK3" s="5" t="s">
        <v>41</v>
      </c>
      <c r="AL3" s="5" t="s">
        <v>42</v>
      </c>
      <c r="AM3" s="7" t="s">
        <v>9</v>
      </c>
      <c r="AN3" s="5" t="s">
        <v>43</v>
      </c>
      <c r="AO3" s="7" t="s">
        <v>44</v>
      </c>
      <c r="AP3" s="7" t="s">
        <v>45</v>
      </c>
      <c r="AQ3" s="7" t="s">
        <v>46</v>
      </c>
      <c r="AR3" s="5" t="s">
        <v>47</v>
      </c>
      <c r="AS3" s="5" t="s">
        <v>48</v>
      </c>
      <c r="AT3" s="5" t="s">
        <v>49</v>
      </c>
      <c r="AU3" s="7" t="s">
        <v>10</v>
      </c>
      <c r="AV3" s="5" t="s">
        <v>50</v>
      </c>
      <c r="AW3" s="7" t="s">
        <v>51</v>
      </c>
      <c r="AX3" s="7" t="s">
        <v>52</v>
      </c>
      <c r="AY3" s="7" t="s">
        <v>53</v>
      </c>
      <c r="AZ3" s="5" t="s">
        <v>54</v>
      </c>
      <c r="BA3" s="5" t="s">
        <v>55</v>
      </c>
      <c r="BB3" s="5" t="s">
        <v>56</v>
      </c>
      <c r="BC3" s="12"/>
      <c r="BD3" s="12"/>
      <c r="BE3" s="12"/>
      <c r="BF3" s="12"/>
      <c r="BG3" s="12"/>
      <c r="BH3" s="12"/>
      <c r="BI3" s="12"/>
      <c r="BJ3" s="12"/>
    </row>
    <row r="4" spans="1:62" ht="67.5" x14ac:dyDescent="0.3">
      <c r="A4" s="8" t="s">
        <v>65</v>
      </c>
      <c r="B4" s="9" t="s">
        <v>66</v>
      </c>
      <c r="C4" s="22" t="s">
        <v>1618</v>
      </c>
      <c r="D4" s="9">
        <v>20260715</v>
      </c>
      <c r="E4" s="22">
        <v>792294</v>
      </c>
      <c r="F4" s="22">
        <v>79229</v>
      </c>
      <c r="G4" s="9">
        <v>871523</v>
      </c>
      <c r="H4" s="22" t="s">
        <v>68</v>
      </c>
      <c r="I4" s="8"/>
      <c r="J4" s="22" t="s">
        <v>253</v>
      </c>
      <c r="K4" s="22" t="s">
        <v>254</v>
      </c>
      <c r="L4" s="22" t="s">
        <v>255</v>
      </c>
      <c r="M4" s="22" t="s">
        <v>256</v>
      </c>
      <c r="N4" s="22" t="s">
        <v>257</v>
      </c>
      <c r="O4" s="22" t="s">
        <v>258</v>
      </c>
      <c r="P4" s="22" t="s">
        <v>261</v>
      </c>
      <c r="Q4" s="22" t="s">
        <v>259</v>
      </c>
      <c r="R4" s="22" t="s">
        <v>260</v>
      </c>
      <c r="S4" s="9"/>
      <c r="T4" s="9"/>
      <c r="U4" s="9"/>
      <c r="V4" s="9"/>
      <c r="W4" s="9" t="str">
        <f>IF(X4&lt;&gt;"","20260715","")</f>
        <v>20260715</v>
      </c>
      <c r="X4" s="22" t="s">
        <v>1619</v>
      </c>
      <c r="Y4" s="23"/>
      <c r="Z4" s="22">
        <v>1</v>
      </c>
      <c r="AA4" s="22">
        <v>257292</v>
      </c>
      <c r="AB4" s="22">
        <v>257292</v>
      </c>
      <c r="AC4" s="22">
        <v>25729</v>
      </c>
      <c r="AD4" s="9"/>
      <c r="AE4" s="9" t="str">
        <f>IF(AF4&lt;&gt;"","20260715","")</f>
        <v>20260715</v>
      </c>
      <c r="AF4" s="22" t="s">
        <v>1682</v>
      </c>
      <c r="AG4" s="23"/>
      <c r="AH4" s="22">
        <v>1</v>
      </c>
      <c r="AI4" s="22">
        <v>383202</v>
      </c>
      <c r="AJ4" s="22">
        <v>383202</v>
      </c>
      <c r="AK4" s="22">
        <v>38320</v>
      </c>
      <c r="AL4" s="9"/>
      <c r="AM4" s="9" t="str">
        <f>IF(AN4&lt;&gt;"","20260715","")</f>
        <v>20260715</v>
      </c>
      <c r="AN4" s="22" t="s">
        <v>1685</v>
      </c>
      <c r="AO4" s="23"/>
      <c r="AP4" s="22">
        <v>1</v>
      </c>
      <c r="AQ4" s="22">
        <v>151800</v>
      </c>
      <c r="AR4" s="22">
        <v>151800</v>
      </c>
      <c r="AS4" s="22">
        <v>15180</v>
      </c>
      <c r="AT4" s="9"/>
      <c r="AU4" s="9" t="str">
        <f>IF(AV4&lt;&gt;"","20260715","")</f>
        <v/>
      </c>
      <c r="AV4" s="23"/>
      <c r="AW4" s="23"/>
      <c r="AX4" s="23"/>
      <c r="AY4" s="23"/>
      <c r="AZ4" s="23"/>
      <c r="BA4" s="23"/>
      <c r="BB4" s="9"/>
    </row>
    <row r="5" spans="1:62" ht="67.5" x14ac:dyDescent="0.3">
      <c r="A5" s="8" t="s">
        <v>65</v>
      </c>
      <c r="B5" s="9" t="s">
        <v>66</v>
      </c>
      <c r="C5" s="22" t="s">
        <v>1618</v>
      </c>
      <c r="D5" s="9">
        <v>20260715</v>
      </c>
      <c r="E5" s="22">
        <v>730000</v>
      </c>
      <c r="F5" s="22">
        <v>73000</v>
      </c>
      <c r="G5" s="9">
        <v>803000</v>
      </c>
      <c r="H5" s="22" t="s">
        <v>69</v>
      </c>
      <c r="I5" s="8"/>
      <c r="J5" s="22" t="s">
        <v>262</v>
      </c>
      <c r="K5" s="22" t="s">
        <v>263</v>
      </c>
      <c r="L5" s="22" t="s">
        <v>264</v>
      </c>
      <c r="M5" s="22" t="s">
        <v>265</v>
      </c>
      <c r="N5" s="22" t="s">
        <v>266</v>
      </c>
      <c r="O5" s="22" t="s">
        <v>267</v>
      </c>
      <c r="P5" s="22" t="s">
        <v>269</v>
      </c>
      <c r="Q5" s="22" t="s">
        <v>259</v>
      </c>
      <c r="R5" s="22" t="s">
        <v>268</v>
      </c>
      <c r="S5" s="9"/>
      <c r="T5" s="9"/>
      <c r="U5" s="9"/>
      <c r="V5" s="9"/>
      <c r="W5" s="9" t="str">
        <f t="shared" ref="W5:W68" si="0">IF(X5&lt;&gt;"","20260715","")</f>
        <v>20260715</v>
      </c>
      <c r="X5" s="22" t="s">
        <v>1620</v>
      </c>
      <c r="Y5" s="23"/>
      <c r="Z5" s="22">
        <v>1</v>
      </c>
      <c r="AA5" s="22">
        <v>730000</v>
      </c>
      <c r="AB5" s="22">
        <v>730000</v>
      </c>
      <c r="AC5" s="22">
        <v>73000</v>
      </c>
      <c r="AD5" s="9"/>
      <c r="AE5" s="9" t="str">
        <f t="shared" ref="AE5:AE68" si="1">IF(AF5&lt;&gt;"","20260715","")</f>
        <v/>
      </c>
      <c r="AF5" s="23"/>
      <c r="AG5" s="23"/>
      <c r="AH5" s="23"/>
      <c r="AI5" s="23"/>
      <c r="AJ5" s="23"/>
      <c r="AK5" s="23"/>
      <c r="AL5" s="9"/>
      <c r="AM5" s="9" t="str">
        <f t="shared" ref="AM5:AM68" si="2">IF(AN5&lt;&gt;"","20260715","")</f>
        <v/>
      </c>
      <c r="AN5" s="23"/>
      <c r="AO5" s="23"/>
      <c r="AP5" s="23"/>
      <c r="AQ5" s="23"/>
      <c r="AR5" s="23"/>
      <c r="AS5" s="23"/>
      <c r="AT5" s="9"/>
      <c r="AU5" s="9" t="str">
        <f t="shared" ref="AU5:AU68" si="3">IF(AV5&lt;&gt;"","20260715","")</f>
        <v/>
      </c>
      <c r="AV5" s="23"/>
      <c r="AW5" s="23"/>
      <c r="AX5" s="23"/>
      <c r="AY5" s="23"/>
      <c r="AZ5" s="23"/>
      <c r="BA5" s="23"/>
      <c r="BB5" s="9"/>
    </row>
    <row r="6" spans="1:62" ht="67.5" x14ac:dyDescent="0.3">
      <c r="A6" s="8" t="s">
        <v>65</v>
      </c>
      <c r="B6" s="9" t="s">
        <v>66</v>
      </c>
      <c r="C6" s="22" t="s">
        <v>67</v>
      </c>
      <c r="D6" s="9">
        <v>20260715</v>
      </c>
      <c r="E6" s="22">
        <v>250000</v>
      </c>
      <c r="F6" s="22">
        <v>25000</v>
      </c>
      <c r="G6" s="9">
        <v>275000</v>
      </c>
      <c r="H6" s="22" t="s">
        <v>70</v>
      </c>
      <c r="I6" s="8"/>
      <c r="J6" s="22" t="s">
        <v>270</v>
      </c>
      <c r="K6" s="22" t="s">
        <v>271</v>
      </c>
      <c r="L6" s="22" t="s">
        <v>272</v>
      </c>
      <c r="M6" s="22" t="s">
        <v>273</v>
      </c>
      <c r="N6" s="22" t="s">
        <v>274</v>
      </c>
      <c r="O6" s="22" t="s">
        <v>271</v>
      </c>
      <c r="P6" s="22" t="s">
        <v>277</v>
      </c>
      <c r="Q6" s="22" t="s">
        <v>275</v>
      </c>
      <c r="R6" s="22" t="s">
        <v>276</v>
      </c>
      <c r="S6" s="9"/>
      <c r="T6" s="9"/>
      <c r="U6" s="9"/>
      <c r="V6" s="9"/>
      <c r="W6" s="9" t="str">
        <f t="shared" si="0"/>
        <v>20260715</v>
      </c>
      <c r="X6" s="22" t="s">
        <v>1621</v>
      </c>
      <c r="Y6" s="23"/>
      <c r="Z6" s="22">
        <v>1</v>
      </c>
      <c r="AA6" s="22">
        <v>250000</v>
      </c>
      <c r="AB6" s="22">
        <v>250000</v>
      </c>
      <c r="AC6" s="22">
        <v>25000</v>
      </c>
      <c r="AD6" s="9"/>
      <c r="AE6" s="9" t="str">
        <f t="shared" si="1"/>
        <v/>
      </c>
      <c r="AF6" s="23"/>
      <c r="AG6" s="23"/>
      <c r="AH6" s="23"/>
      <c r="AI6" s="23"/>
      <c r="AJ6" s="23"/>
      <c r="AK6" s="23"/>
      <c r="AL6" s="9"/>
      <c r="AM6" s="9" t="str">
        <f t="shared" si="2"/>
        <v/>
      </c>
      <c r="AN6" s="23"/>
      <c r="AO6" s="23"/>
      <c r="AP6" s="23"/>
      <c r="AQ6" s="23"/>
      <c r="AR6" s="23"/>
      <c r="AS6" s="23"/>
      <c r="AT6" s="9"/>
      <c r="AU6" s="9" t="str">
        <f t="shared" si="3"/>
        <v/>
      </c>
      <c r="AV6" s="23"/>
      <c r="AW6" s="23"/>
      <c r="AX6" s="23"/>
      <c r="AY6" s="23"/>
      <c r="AZ6" s="23"/>
      <c r="BA6" s="23"/>
      <c r="BB6" s="9"/>
    </row>
    <row r="7" spans="1:62" ht="54" x14ac:dyDescent="0.3">
      <c r="A7" s="8" t="s">
        <v>65</v>
      </c>
      <c r="B7" s="9" t="s">
        <v>66</v>
      </c>
      <c r="C7" s="22" t="s">
        <v>1618</v>
      </c>
      <c r="D7" s="9">
        <v>20260715</v>
      </c>
      <c r="E7" s="22">
        <v>315000</v>
      </c>
      <c r="F7" s="22">
        <v>31500</v>
      </c>
      <c r="G7" s="9">
        <v>346500</v>
      </c>
      <c r="H7" s="22" t="s">
        <v>71</v>
      </c>
      <c r="I7" s="8"/>
      <c r="J7" s="22" t="s">
        <v>278</v>
      </c>
      <c r="K7" s="22" t="s">
        <v>279</v>
      </c>
      <c r="L7" s="22" t="s">
        <v>280</v>
      </c>
      <c r="M7" s="22" t="s">
        <v>265</v>
      </c>
      <c r="N7" s="22" t="s">
        <v>281</v>
      </c>
      <c r="O7" s="22" t="s">
        <v>282</v>
      </c>
      <c r="P7" s="22" t="s">
        <v>285</v>
      </c>
      <c r="Q7" s="22" t="s">
        <v>283</v>
      </c>
      <c r="R7" s="22" t="s">
        <v>284</v>
      </c>
      <c r="S7" s="9"/>
      <c r="T7" s="9"/>
      <c r="U7" s="9"/>
      <c r="V7" s="9"/>
      <c r="W7" s="9" t="str">
        <f t="shared" si="0"/>
        <v>20260715</v>
      </c>
      <c r="X7" s="22" t="s">
        <v>1622</v>
      </c>
      <c r="Y7" s="23"/>
      <c r="Z7" s="22">
        <v>1</v>
      </c>
      <c r="AA7" s="22">
        <v>315000</v>
      </c>
      <c r="AB7" s="22">
        <v>315000</v>
      </c>
      <c r="AC7" s="22">
        <v>31500</v>
      </c>
      <c r="AD7" s="9"/>
      <c r="AE7" s="9" t="str">
        <f t="shared" si="1"/>
        <v/>
      </c>
      <c r="AF7" s="23"/>
      <c r="AG7" s="23"/>
      <c r="AH7" s="23"/>
      <c r="AI7" s="23"/>
      <c r="AJ7" s="23"/>
      <c r="AK7" s="23"/>
      <c r="AL7" s="9"/>
      <c r="AM7" s="9" t="str">
        <f t="shared" si="2"/>
        <v/>
      </c>
      <c r="AN7" s="23"/>
      <c r="AO7" s="23"/>
      <c r="AP7" s="23"/>
      <c r="AQ7" s="23"/>
      <c r="AR7" s="23"/>
      <c r="AS7" s="23"/>
      <c r="AT7" s="9"/>
      <c r="AU7" s="9" t="str">
        <f t="shared" si="3"/>
        <v/>
      </c>
      <c r="AV7" s="23"/>
      <c r="AW7" s="23"/>
      <c r="AX7" s="23"/>
      <c r="AY7" s="23"/>
      <c r="AZ7" s="23"/>
      <c r="BA7" s="23"/>
      <c r="BB7" s="9"/>
    </row>
    <row r="8" spans="1:62" ht="54" x14ac:dyDescent="0.3">
      <c r="A8" s="8" t="s">
        <v>65</v>
      </c>
      <c r="B8" s="9" t="s">
        <v>66</v>
      </c>
      <c r="C8" s="22" t="s">
        <v>1618</v>
      </c>
      <c r="D8" s="9">
        <v>20260715</v>
      </c>
      <c r="E8" s="22">
        <v>369650</v>
      </c>
      <c r="F8" s="22">
        <v>36965</v>
      </c>
      <c r="G8" s="9">
        <v>406615</v>
      </c>
      <c r="H8" s="22" t="s">
        <v>72</v>
      </c>
      <c r="I8" s="8"/>
      <c r="J8" s="22" t="s">
        <v>286</v>
      </c>
      <c r="K8" s="22" t="s">
        <v>287</v>
      </c>
      <c r="L8" s="22" t="s">
        <v>288</v>
      </c>
      <c r="M8" s="22" t="s">
        <v>289</v>
      </c>
      <c r="N8" s="22" t="s">
        <v>290</v>
      </c>
      <c r="O8" s="22" t="s">
        <v>291</v>
      </c>
      <c r="P8" s="22" t="s">
        <v>293</v>
      </c>
      <c r="Q8" s="22" t="s">
        <v>292</v>
      </c>
      <c r="R8" s="22" t="s">
        <v>292</v>
      </c>
      <c r="S8" s="9"/>
      <c r="T8" s="9"/>
      <c r="U8" s="9"/>
      <c r="V8" s="9"/>
      <c r="W8" s="9" t="str">
        <f t="shared" si="0"/>
        <v>20260715</v>
      </c>
      <c r="X8" s="22" t="s">
        <v>1623</v>
      </c>
      <c r="Y8" s="23"/>
      <c r="Z8" s="22">
        <v>1</v>
      </c>
      <c r="AA8" s="22">
        <v>50000</v>
      </c>
      <c r="AB8" s="22">
        <v>50000</v>
      </c>
      <c r="AC8" s="22">
        <v>5000</v>
      </c>
      <c r="AD8" s="9"/>
      <c r="AE8" s="9" t="str">
        <f t="shared" si="1"/>
        <v>20260715</v>
      </c>
      <c r="AF8" s="22" t="s">
        <v>1656</v>
      </c>
      <c r="AG8" s="23"/>
      <c r="AH8" s="22">
        <v>1</v>
      </c>
      <c r="AI8" s="22">
        <v>319650</v>
      </c>
      <c r="AJ8" s="22">
        <v>319650</v>
      </c>
      <c r="AK8" s="22">
        <v>31965</v>
      </c>
      <c r="AL8" s="9"/>
      <c r="AM8" s="9" t="str">
        <f t="shared" si="2"/>
        <v/>
      </c>
      <c r="AN8" s="23"/>
      <c r="AO8" s="23"/>
      <c r="AP8" s="23"/>
      <c r="AQ8" s="23"/>
      <c r="AR8" s="23"/>
      <c r="AS8" s="23"/>
      <c r="AT8" s="9"/>
      <c r="AU8" s="9" t="str">
        <f t="shared" si="3"/>
        <v/>
      </c>
      <c r="AV8" s="23"/>
      <c r="AW8" s="23"/>
      <c r="AX8" s="23"/>
      <c r="AY8" s="23"/>
      <c r="AZ8" s="23"/>
      <c r="BA8" s="23"/>
      <c r="BB8" s="9"/>
    </row>
    <row r="9" spans="1:62" ht="40.5" x14ac:dyDescent="0.3">
      <c r="A9" s="8" t="s">
        <v>65</v>
      </c>
      <c r="B9" s="9" t="s">
        <v>66</v>
      </c>
      <c r="C9" s="22" t="s">
        <v>1618</v>
      </c>
      <c r="D9" s="9">
        <v>20260715</v>
      </c>
      <c r="E9" s="22">
        <v>30000</v>
      </c>
      <c r="F9" s="22">
        <v>3000</v>
      </c>
      <c r="G9" s="9">
        <v>33000</v>
      </c>
      <c r="H9" s="22" t="s">
        <v>73</v>
      </c>
      <c r="I9" s="8"/>
      <c r="J9" s="22" t="s">
        <v>294</v>
      </c>
      <c r="K9" s="22" t="s">
        <v>295</v>
      </c>
      <c r="L9" s="22" t="s">
        <v>296</v>
      </c>
      <c r="M9" s="22" t="s">
        <v>297</v>
      </c>
      <c r="N9" s="22" t="s">
        <v>298</v>
      </c>
      <c r="O9" s="22" t="s">
        <v>299</v>
      </c>
      <c r="P9" s="22" t="s">
        <v>301</v>
      </c>
      <c r="Q9" s="22" t="s">
        <v>300</v>
      </c>
      <c r="R9" s="22" t="s">
        <v>292</v>
      </c>
      <c r="S9" s="9"/>
      <c r="T9" s="9"/>
      <c r="U9" s="9"/>
      <c r="V9" s="9"/>
      <c r="W9" s="9" t="str">
        <f t="shared" si="0"/>
        <v>20260715</v>
      </c>
      <c r="X9" s="22" t="s">
        <v>1624</v>
      </c>
      <c r="Y9" s="23"/>
      <c r="Z9" s="22">
        <v>1</v>
      </c>
      <c r="AA9" s="22">
        <v>30000</v>
      </c>
      <c r="AB9" s="22">
        <v>30000</v>
      </c>
      <c r="AC9" s="22">
        <v>3000</v>
      </c>
      <c r="AD9" s="9"/>
      <c r="AE9" s="9" t="str">
        <f t="shared" si="1"/>
        <v/>
      </c>
      <c r="AF9" s="23"/>
      <c r="AG9" s="23"/>
      <c r="AH9" s="23"/>
      <c r="AI9" s="23"/>
      <c r="AJ9" s="23"/>
      <c r="AK9" s="23"/>
      <c r="AL9" s="9"/>
      <c r="AM9" s="9" t="str">
        <f t="shared" si="2"/>
        <v/>
      </c>
      <c r="AN9" s="23"/>
      <c r="AO9" s="23"/>
      <c r="AP9" s="23"/>
      <c r="AQ9" s="23"/>
      <c r="AR9" s="23"/>
      <c r="AS9" s="23"/>
      <c r="AT9" s="9"/>
      <c r="AU9" s="9" t="str">
        <f t="shared" si="3"/>
        <v/>
      </c>
      <c r="AV9" s="23"/>
      <c r="AW9" s="23"/>
      <c r="AX9" s="23"/>
      <c r="AY9" s="23"/>
      <c r="AZ9" s="23"/>
      <c r="BA9" s="23"/>
      <c r="BB9" s="9"/>
    </row>
    <row r="10" spans="1:62" ht="54" x14ac:dyDescent="0.3">
      <c r="A10" s="8" t="s">
        <v>65</v>
      </c>
      <c r="B10" s="9" t="s">
        <v>66</v>
      </c>
      <c r="C10" s="22" t="s">
        <v>1618</v>
      </c>
      <c r="D10" s="9">
        <v>20260715</v>
      </c>
      <c r="E10" s="22">
        <v>207600</v>
      </c>
      <c r="F10" s="22">
        <v>20760</v>
      </c>
      <c r="G10" s="9">
        <v>228360</v>
      </c>
      <c r="H10" s="22" t="s">
        <v>74</v>
      </c>
      <c r="I10" s="8"/>
      <c r="J10" s="22" t="s">
        <v>302</v>
      </c>
      <c r="K10" s="22" t="s">
        <v>303</v>
      </c>
      <c r="L10" s="22" t="s">
        <v>304</v>
      </c>
      <c r="M10" s="22" t="s">
        <v>273</v>
      </c>
      <c r="N10" s="22" t="s">
        <v>305</v>
      </c>
      <c r="O10" s="22" t="s">
        <v>306</v>
      </c>
      <c r="P10" s="22" t="s">
        <v>308</v>
      </c>
      <c r="Q10" s="22" t="s">
        <v>307</v>
      </c>
      <c r="R10" s="22" t="s">
        <v>292</v>
      </c>
      <c r="S10" s="9"/>
      <c r="T10" s="9"/>
      <c r="U10" s="9"/>
      <c r="V10" s="9"/>
      <c r="W10" s="9" t="str">
        <f t="shared" si="0"/>
        <v>20260715</v>
      </c>
      <c r="X10" s="22" t="s">
        <v>1625</v>
      </c>
      <c r="Y10" s="23"/>
      <c r="Z10" s="22">
        <v>1</v>
      </c>
      <c r="AA10" s="22">
        <v>207600</v>
      </c>
      <c r="AB10" s="22">
        <v>207600</v>
      </c>
      <c r="AC10" s="22">
        <v>20760</v>
      </c>
      <c r="AD10" s="9"/>
      <c r="AE10" s="9" t="str">
        <f t="shared" si="1"/>
        <v/>
      </c>
      <c r="AF10" s="23"/>
      <c r="AG10" s="23"/>
      <c r="AH10" s="23"/>
      <c r="AI10" s="23"/>
      <c r="AJ10" s="23"/>
      <c r="AK10" s="23"/>
      <c r="AL10" s="9"/>
      <c r="AM10" s="9" t="str">
        <f t="shared" si="2"/>
        <v/>
      </c>
      <c r="AN10" s="23"/>
      <c r="AO10" s="23"/>
      <c r="AP10" s="23"/>
      <c r="AQ10" s="23"/>
      <c r="AR10" s="23"/>
      <c r="AS10" s="23"/>
      <c r="AT10" s="9"/>
      <c r="AU10" s="9" t="str">
        <f t="shared" si="3"/>
        <v/>
      </c>
      <c r="AV10" s="23"/>
      <c r="AW10" s="23"/>
      <c r="AX10" s="23"/>
      <c r="AY10" s="23"/>
      <c r="AZ10" s="23"/>
      <c r="BA10" s="23"/>
      <c r="BB10" s="9"/>
    </row>
    <row r="11" spans="1:62" ht="54" x14ac:dyDescent="0.3">
      <c r="A11" s="8" t="s">
        <v>65</v>
      </c>
      <c r="B11" s="9" t="s">
        <v>66</v>
      </c>
      <c r="C11" s="22" t="s">
        <v>1618</v>
      </c>
      <c r="D11" s="9">
        <v>20260715</v>
      </c>
      <c r="E11" s="22">
        <v>174600</v>
      </c>
      <c r="F11" s="22">
        <v>17460</v>
      </c>
      <c r="G11" s="9">
        <v>192060</v>
      </c>
      <c r="H11" s="22" t="s">
        <v>75</v>
      </c>
      <c r="I11" s="8"/>
      <c r="J11" s="22" t="s">
        <v>309</v>
      </c>
      <c r="K11" s="22" t="s">
        <v>310</v>
      </c>
      <c r="L11" s="22" t="s">
        <v>311</v>
      </c>
      <c r="M11" s="22" t="s">
        <v>312</v>
      </c>
      <c r="N11" s="22" t="s">
        <v>313</v>
      </c>
      <c r="O11" s="22" t="s">
        <v>310</v>
      </c>
      <c r="P11" s="22" t="s">
        <v>316</v>
      </c>
      <c r="Q11" s="22" t="s">
        <v>314</v>
      </c>
      <c r="R11" s="22" t="s">
        <v>315</v>
      </c>
      <c r="S11" s="9"/>
      <c r="T11" s="9"/>
      <c r="U11" s="9"/>
      <c r="V11" s="9"/>
      <c r="W11" s="9" t="str">
        <f t="shared" si="0"/>
        <v>20260715</v>
      </c>
      <c r="X11" s="22" t="s">
        <v>1622</v>
      </c>
      <c r="Y11" s="23"/>
      <c r="Z11" s="22">
        <v>1</v>
      </c>
      <c r="AA11" s="22">
        <v>174600</v>
      </c>
      <c r="AB11" s="22">
        <v>174600</v>
      </c>
      <c r="AC11" s="22">
        <v>17460</v>
      </c>
      <c r="AD11" s="9"/>
      <c r="AE11" s="9" t="str">
        <f t="shared" si="1"/>
        <v/>
      </c>
      <c r="AF11" s="23"/>
      <c r="AG11" s="23"/>
      <c r="AH11" s="23"/>
      <c r="AI11" s="23"/>
      <c r="AJ11" s="23"/>
      <c r="AK11" s="23"/>
      <c r="AL11" s="9"/>
      <c r="AM11" s="9" t="str">
        <f t="shared" si="2"/>
        <v/>
      </c>
      <c r="AN11" s="23"/>
      <c r="AO11" s="23"/>
      <c r="AP11" s="23"/>
      <c r="AQ11" s="23"/>
      <c r="AR11" s="23"/>
      <c r="AS11" s="23"/>
      <c r="AT11" s="9"/>
      <c r="AU11" s="9" t="str">
        <f t="shared" si="3"/>
        <v/>
      </c>
      <c r="AV11" s="23"/>
      <c r="AW11" s="23"/>
      <c r="AX11" s="23"/>
      <c r="AY11" s="23"/>
      <c r="AZ11" s="23"/>
      <c r="BA11" s="23"/>
      <c r="BB11" s="9"/>
    </row>
    <row r="12" spans="1:62" ht="67.5" x14ac:dyDescent="0.3">
      <c r="A12" s="8" t="s">
        <v>65</v>
      </c>
      <c r="B12" s="9" t="s">
        <v>66</v>
      </c>
      <c r="C12" s="22" t="s">
        <v>1618</v>
      </c>
      <c r="D12" s="9">
        <v>20260715</v>
      </c>
      <c r="E12" s="22">
        <v>210000</v>
      </c>
      <c r="F12" s="22">
        <v>21000</v>
      </c>
      <c r="G12" s="9">
        <v>231000</v>
      </c>
      <c r="H12" s="22" t="s">
        <v>76</v>
      </c>
      <c r="I12" s="8"/>
      <c r="J12" s="22" t="s">
        <v>317</v>
      </c>
      <c r="K12" s="22" t="s">
        <v>318</v>
      </c>
      <c r="L12" s="22" t="s">
        <v>319</v>
      </c>
      <c r="M12" s="22" t="s">
        <v>320</v>
      </c>
      <c r="N12" s="22" t="s">
        <v>321</v>
      </c>
      <c r="O12" s="22" t="s">
        <v>291</v>
      </c>
      <c r="P12" s="22" t="s">
        <v>324</v>
      </c>
      <c r="Q12" s="22" t="s">
        <v>322</v>
      </c>
      <c r="R12" s="22" t="s">
        <v>323</v>
      </c>
      <c r="S12" s="9"/>
      <c r="T12" s="9"/>
      <c r="U12" s="9"/>
      <c r="V12" s="9"/>
      <c r="W12" s="9" t="str">
        <f t="shared" si="0"/>
        <v>20260715</v>
      </c>
      <c r="X12" s="22" t="s">
        <v>1626</v>
      </c>
      <c r="Y12" s="23"/>
      <c r="Z12" s="22">
        <v>1</v>
      </c>
      <c r="AA12" s="22">
        <v>210000</v>
      </c>
      <c r="AB12" s="22">
        <v>210000</v>
      </c>
      <c r="AC12" s="22">
        <v>21000</v>
      </c>
      <c r="AD12" s="9"/>
      <c r="AE12" s="9" t="str">
        <f t="shared" si="1"/>
        <v/>
      </c>
      <c r="AF12" s="23"/>
      <c r="AG12" s="23"/>
      <c r="AH12" s="23"/>
      <c r="AI12" s="23"/>
      <c r="AJ12" s="23"/>
      <c r="AK12" s="23"/>
      <c r="AL12" s="9"/>
      <c r="AM12" s="9" t="str">
        <f t="shared" si="2"/>
        <v/>
      </c>
      <c r="AN12" s="23"/>
      <c r="AO12" s="23"/>
      <c r="AP12" s="23"/>
      <c r="AQ12" s="23"/>
      <c r="AR12" s="23"/>
      <c r="AS12" s="23"/>
      <c r="AT12" s="9"/>
      <c r="AU12" s="9" t="str">
        <f t="shared" si="3"/>
        <v/>
      </c>
      <c r="AV12" s="23"/>
      <c r="AW12" s="23"/>
      <c r="AX12" s="23"/>
      <c r="AY12" s="23"/>
      <c r="AZ12" s="23"/>
      <c r="BA12" s="23"/>
      <c r="BB12" s="9"/>
    </row>
    <row r="13" spans="1:62" ht="67.5" x14ac:dyDescent="0.3">
      <c r="A13" s="8" t="s">
        <v>65</v>
      </c>
      <c r="B13" s="9" t="s">
        <v>66</v>
      </c>
      <c r="C13" s="22" t="s">
        <v>1618</v>
      </c>
      <c r="D13" s="9">
        <v>20260715</v>
      </c>
      <c r="E13" s="22">
        <v>404100</v>
      </c>
      <c r="F13" s="22">
        <v>40410</v>
      </c>
      <c r="G13" s="9">
        <v>444510</v>
      </c>
      <c r="H13" s="22" t="s">
        <v>77</v>
      </c>
      <c r="I13" s="8"/>
      <c r="J13" s="22" t="s">
        <v>325</v>
      </c>
      <c r="K13" s="22" t="s">
        <v>326</v>
      </c>
      <c r="L13" s="22" t="s">
        <v>327</v>
      </c>
      <c r="M13" s="22" t="s">
        <v>328</v>
      </c>
      <c r="N13" s="22" t="s">
        <v>329</v>
      </c>
      <c r="O13" s="22" t="s">
        <v>291</v>
      </c>
      <c r="P13" s="22" t="s">
        <v>330</v>
      </c>
      <c r="Q13" s="22" t="s">
        <v>292</v>
      </c>
      <c r="R13" s="22" t="s">
        <v>292</v>
      </c>
      <c r="S13" s="9"/>
      <c r="T13" s="9"/>
      <c r="U13" s="9"/>
      <c r="V13" s="9"/>
      <c r="W13" s="9" t="str">
        <f t="shared" si="0"/>
        <v>20260715</v>
      </c>
      <c r="X13" s="22" t="s">
        <v>1627</v>
      </c>
      <c r="Y13" s="23"/>
      <c r="Z13" s="22">
        <v>1</v>
      </c>
      <c r="AA13" s="22">
        <v>100000</v>
      </c>
      <c r="AB13" s="22">
        <v>100000</v>
      </c>
      <c r="AC13" s="22">
        <v>10000</v>
      </c>
      <c r="AD13" s="9"/>
      <c r="AE13" s="9" t="str">
        <f t="shared" si="1"/>
        <v>20260715</v>
      </c>
      <c r="AF13" s="22" t="s">
        <v>1683</v>
      </c>
      <c r="AG13" s="23"/>
      <c r="AH13" s="22">
        <v>1</v>
      </c>
      <c r="AI13" s="22">
        <v>100000</v>
      </c>
      <c r="AJ13" s="22">
        <v>100000</v>
      </c>
      <c r="AK13" s="22">
        <v>10000</v>
      </c>
      <c r="AL13" s="9"/>
      <c r="AM13" s="9" t="str">
        <f t="shared" si="2"/>
        <v>20260715</v>
      </c>
      <c r="AN13" s="22" t="s">
        <v>1648</v>
      </c>
      <c r="AO13" s="23"/>
      <c r="AP13" s="22">
        <v>1</v>
      </c>
      <c r="AQ13" s="22">
        <v>100000</v>
      </c>
      <c r="AR13" s="22">
        <v>100000</v>
      </c>
      <c r="AS13" s="22">
        <v>10000</v>
      </c>
      <c r="AT13" s="9"/>
      <c r="AU13" s="9" t="str">
        <f t="shared" si="3"/>
        <v>20260715</v>
      </c>
      <c r="AV13" s="22" t="s">
        <v>1634</v>
      </c>
      <c r="AW13" s="23"/>
      <c r="AX13" s="22">
        <v>1</v>
      </c>
      <c r="AY13" s="22">
        <v>104100</v>
      </c>
      <c r="AZ13" s="22">
        <v>104100</v>
      </c>
      <c r="BA13" s="22">
        <v>10410</v>
      </c>
      <c r="BB13" s="9"/>
    </row>
    <row r="14" spans="1:62" ht="81" x14ac:dyDescent="0.3">
      <c r="A14" s="8" t="s">
        <v>65</v>
      </c>
      <c r="B14" s="9" t="s">
        <v>66</v>
      </c>
      <c r="C14" s="22" t="s">
        <v>1618</v>
      </c>
      <c r="D14" s="9">
        <v>20260715</v>
      </c>
      <c r="E14" s="22">
        <v>190500</v>
      </c>
      <c r="F14" s="22">
        <v>19050</v>
      </c>
      <c r="G14" s="9">
        <v>209550</v>
      </c>
      <c r="H14" s="22" t="s">
        <v>78</v>
      </c>
      <c r="I14" s="8"/>
      <c r="J14" s="22" t="s">
        <v>331</v>
      </c>
      <c r="K14" s="22" t="s">
        <v>332</v>
      </c>
      <c r="L14" s="22" t="s">
        <v>333</v>
      </c>
      <c r="M14" s="22" t="s">
        <v>334</v>
      </c>
      <c r="N14" s="22" t="s">
        <v>335</v>
      </c>
      <c r="O14" s="22" t="s">
        <v>336</v>
      </c>
      <c r="P14" s="22" t="s">
        <v>339</v>
      </c>
      <c r="Q14" s="22" t="s">
        <v>337</v>
      </c>
      <c r="R14" s="22" t="s">
        <v>338</v>
      </c>
      <c r="S14" s="9"/>
      <c r="T14" s="9"/>
      <c r="U14" s="9"/>
      <c r="V14" s="9"/>
      <c r="W14" s="9" t="str">
        <f t="shared" si="0"/>
        <v>20260715</v>
      </c>
      <c r="X14" s="22" t="s">
        <v>1628</v>
      </c>
      <c r="Y14" s="23"/>
      <c r="Z14" s="22">
        <v>1</v>
      </c>
      <c r="AA14" s="22">
        <v>50000</v>
      </c>
      <c r="AB14" s="22">
        <v>50000</v>
      </c>
      <c r="AC14" s="22">
        <v>5000</v>
      </c>
      <c r="AD14" s="9"/>
      <c r="AE14" s="9" t="str">
        <f t="shared" si="1"/>
        <v>20260715</v>
      </c>
      <c r="AF14" s="22" t="s">
        <v>1684</v>
      </c>
      <c r="AG14" s="23"/>
      <c r="AH14" s="22">
        <v>1</v>
      </c>
      <c r="AI14" s="22">
        <v>80000</v>
      </c>
      <c r="AJ14" s="22">
        <v>80000</v>
      </c>
      <c r="AK14" s="22">
        <v>8000</v>
      </c>
      <c r="AL14" s="9"/>
      <c r="AM14" s="9" t="str">
        <f t="shared" si="2"/>
        <v>20260715</v>
      </c>
      <c r="AN14" s="22" t="s">
        <v>1703</v>
      </c>
      <c r="AO14" s="23"/>
      <c r="AP14" s="22">
        <v>1</v>
      </c>
      <c r="AQ14" s="22">
        <v>60500</v>
      </c>
      <c r="AR14" s="22">
        <v>60500</v>
      </c>
      <c r="AS14" s="22">
        <v>6050</v>
      </c>
      <c r="AT14" s="9"/>
      <c r="AU14" s="9" t="str">
        <f t="shared" si="3"/>
        <v/>
      </c>
      <c r="AV14" s="23"/>
      <c r="AW14" s="23"/>
      <c r="AX14" s="23"/>
      <c r="AY14" s="23"/>
      <c r="AZ14" s="23"/>
      <c r="BA14" s="23"/>
      <c r="BB14" s="9"/>
    </row>
    <row r="15" spans="1:62" ht="94.5" x14ac:dyDescent="0.3">
      <c r="A15" s="8" t="s">
        <v>65</v>
      </c>
      <c r="B15" s="9" t="s">
        <v>66</v>
      </c>
      <c r="C15" s="22" t="s">
        <v>1618</v>
      </c>
      <c r="D15" s="9">
        <v>20260715</v>
      </c>
      <c r="E15" s="22">
        <v>150000</v>
      </c>
      <c r="F15" s="22">
        <v>15000</v>
      </c>
      <c r="G15" s="9">
        <v>165000</v>
      </c>
      <c r="H15" s="22" t="s">
        <v>79</v>
      </c>
      <c r="I15" s="8"/>
      <c r="J15" s="22" t="s">
        <v>340</v>
      </c>
      <c r="K15" s="22" t="s">
        <v>341</v>
      </c>
      <c r="L15" s="22" t="s">
        <v>342</v>
      </c>
      <c r="M15" s="22" t="s">
        <v>312</v>
      </c>
      <c r="N15" s="22" t="s">
        <v>343</v>
      </c>
      <c r="O15" s="22" t="s">
        <v>344</v>
      </c>
      <c r="P15" s="22" t="s">
        <v>346</v>
      </c>
      <c r="Q15" s="22" t="s">
        <v>345</v>
      </c>
      <c r="R15" s="22" t="s">
        <v>292</v>
      </c>
      <c r="S15" s="9"/>
      <c r="T15" s="9"/>
      <c r="U15" s="9"/>
      <c r="V15" s="9"/>
      <c r="W15" s="9" t="str">
        <f t="shared" si="0"/>
        <v>20260715</v>
      </c>
      <c r="X15" s="22" t="s">
        <v>1628</v>
      </c>
      <c r="Y15" s="23"/>
      <c r="Z15" s="22">
        <v>1</v>
      </c>
      <c r="AA15" s="22">
        <v>100000</v>
      </c>
      <c r="AB15" s="22">
        <v>100000</v>
      </c>
      <c r="AC15" s="22">
        <v>10000</v>
      </c>
      <c r="AD15" s="9"/>
      <c r="AE15" s="9" t="str">
        <f t="shared" si="1"/>
        <v>20260715</v>
      </c>
      <c r="AF15" s="22" t="s">
        <v>1685</v>
      </c>
      <c r="AG15" s="23"/>
      <c r="AH15" s="22">
        <v>1</v>
      </c>
      <c r="AI15" s="22">
        <v>50000</v>
      </c>
      <c r="AJ15" s="22">
        <v>50000</v>
      </c>
      <c r="AK15" s="22">
        <v>5000</v>
      </c>
      <c r="AL15" s="9"/>
      <c r="AM15" s="9" t="str">
        <f t="shared" si="2"/>
        <v/>
      </c>
      <c r="AN15" s="23"/>
      <c r="AO15" s="23"/>
      <c r="AP15" s="23"/>
      <c r="AQ15" s="23"/>
      <c r="AR15" s="23"/>
      <c r="AS15" s="23"/>
      <c r="AT15" s="9"/>
      <c r="AU15" s="9" t="str">
        <f t="shared" si="3"/>
        <v/>
      </c>
      <c r="AV15" s="23"/>
      <c r="AW15" s="23"/>
      <c r="AX15" s="23"/>
      <c r="AY15" s="23"/>
      <c r="AZ15" s="23"/>
      <c r="BA15" s="23"/>
      <c r="BB15" s="9"/>
    </row>
    <row r="16" spans="1:62" ht="54" x14ac:dyDescent="0.3">
      <c r="A16" s="8" t="s">
        <v>65</v>
      </c>
      <c r="B16" s="9" t="s">
        <v>66</v>
      </c>
      <c r="C16" s="22" t="s">
        <v>1618</v>
      </c>
      <c r="D16" s="9">
        <v>20260715</v>
      </c>
      <c r="E16" s="22">
        <v>170000</v>
      </c>
      <c r="F16" s="22">
        <v>17000</v>
      </c>
      <c r="G16" s="9">
        <v>187000</v>
      </c>
      <c r="H16" s="22" t="s">
        <v>80</v>
      </c>
      <c r="I16" s="8"/>
      <c r="J16" s="22" t="s">
        <v>347</v>
      </c>
      <c r="K16" s="22" t="s">
        <v>348</v>
      </c>
      <c r="L16" s="22" t="s">
        <v>349</v>
      </c>
      <c r="M16" s="22" t="s">
        <v>350</v>
      </c>
      <c r="N16" s="22" t="s">
        <v>351</v>
      </c>
      <c r="O16" s="22" t="s">
        <v>352</v>
      </c>
      <c r="P16" s="22" t="s">
        <v>354</v>
      </c>
      <c r="Q16" s="22" t="s">
        <v>353</v>
      </c>
      <c r="R16" s="22" t="s">
        <v>353</v>
      </c>
      <c r="S16" s="9"/>
      <c r="T16" s="9"/>
      <c r="U16" s="9"/>
      <c r="V16" s="9"/>
      <c r="W16" s="9" t="str">
        <f t="shared" si="0"/>
        <v>20260715</v>
      </c>
      <c r="X16" s="22" t="s">
        <v>1629</v>
      </c>
      <c r="Y16" s="23"/>
      <c r="Z16" s="22">
        <v>1</v>
      </c>
      <c r="AA16" s="22">
        <v>170000</v>
      </c>
      <c r="AB16" s="22">
        <v>170000</v>
      </c>
      <c r="AC16" s="22">
        <v>17000</v>
      </c>
      <c r="AD16" s="9"/>
      <c r="AE16" s="9" t="str">
        <f t="shared" si="1"/>
        <v/>
      </c>
      <c r="AF16" s="23"/>
      <c r="AG16" s="23"/>
      <c r="AH16" s="23"/>
      <c r="AI16" s="23"/>
      <c r="AJ16" s="23"/>
      <c r="AK16" s="23"/>
      <c r="AL16" s="9"/>
      <c r="AM16" s="9" t="str">
        <f t="shared" si="2"/>
        <v/>
      </c>
      <c r="AN16" s="23"/>
      <c r="AO16" s="23"/>
      <c r="AP16" s="23"/>
      <c r="AQ16" s="23"/>
      <c r="AR16" s="23"/>
      <c r="AS16" s="23"/>
      <c r="AT16" s="9"/>
      <c r="AU16" s="9" t="str">
        <f t="shared" si="3"/>
        <v/>
      </c>
      <c r="AV16" s="23"/>
      <c r="AW16" s="23"/>
      <c r="AX16" s="23"/>
      <c r="AY16" s="23"/>
      <c r="AZ16" s="23"/>
      <c r="BA16" s="23"/>
      <c r="BB16" s="9"/>
    </row>
    <row r="17" spans="1:54" ht="40.5" x14ac:dyDescent="0.3">
      <c r="A17" s="8" t="s">
        <v>65</v>
      </c>
      <c r="B17" s="9" t="s">
        <v>66</v>
      </c>
      <c r="C17" s="22" t="s">
        <v>1618</v>
      </c>
      <c r="D17" s="9">
        <v>20260715</v>
      </c>
      <c r="E17" s="22">
        <v>80000</v>
      </c>
      <c r="F17" s="22">
        <v>8000</v>
      </c>
      <c r="G17" s="9">
        <v>88000</v>
      </c>
      <c r="H17" s="22" t="s">
        <v>81</v>
      </c>
      <c r="I17" s="8"/>
      <c r="J17" s="22" t="s">
        <v>355</v>
      </c>
      <c r="K17" s="22" t="s">
        <v>356</v>
      </c>
      <c r="L17" s="22" t="s">
        <v>357</v>
      </c>
      <c r="M17" s="22" t="s">
        <v>358</v>
      </c>
      <c r="N17" s="22" t="s">
        <v>359</v>
      </c>
      <c r="O17" s="22" t="s">
        <v>360</v>
      </c>
      <c r="P17" s="22" t="s">
        <v>362</v>
      </c>
      <c r="Q17" s="22" t="s">
        <v>361</v>
      </c>
      <c r="R17" s="22" t="s">
        <v>361</v>
      </c>
      <c r="S17" s="9"/>
      <c r="T17" s="9"/>
      <c r="U17" s="9"/>
      <c r="V17" s="9"/>
      <c r="W17" s="9" t="str">
        <f t="shared" si="0"/>
        <v>20260715</v>
      </c>
      <c r="X17" s="22" t="s">
        <v>1630</v>
      </c>
      <c r="Y17" s="23"/>
      <c r="Z17" s="22">
        <v>1</v>
      </c>
      <c r="AA17" s="22">
        <v>80000</v>
      </c>
      <c r="AB17" s="22">
        <v>80000</v>
      </c>
      <c r="AC17" s="22">
        <v>8000</v>
      </c>
      <c r="AD17" s="9"/>
      <c r="AE17" s="9" t="str">
        <f t="shared" si="1"/>
        <v/>
      </c>
      <c r="AF17" s="23"/>
      <c r="AG17" s="23"/>
      <c r="AH17" s="23"/>
      <c r="AI17" s="23"/>
      <c r="AJ17" s="23"/>
      <c r="AK17" s="23"/>
      <c r="AL17" s="9"/>
      <c r="AM17" s="9" t="str">
        <f t="shared" si="2"/>
        <v/>
      </c>
      <c r="AN17" s="23"/>
      <c r="AO17" s="23"/>
      <c r="AP17" s="23"/>
      <c r="AQ17" s="23"/>
      <c r="AR17" s="23"/>
      <c r="AS17" s="23"/>
      <c r="AT17" s="9"/>
      <c r="AU17" s="9" t="str">
        <f t="shared" si="3"/>
        <v/>
      </c>
      <c r="AV17" s="23"/>
      <c r="AW17" s="23"/>
      <c r="AX17" s="23"/>
      <c r="AY17" s="23"/>
      <c r="AZ17" s="23"/>
      <c r="BA17" s="23"/>
      <c r="BB17" s="9"/>
    </row>
    <row r="18" spans="1:54" ht="67.5" x14ac:dyDescent="0.3">
      <c r="A18" s="8" t="s">
        <v>65</v>
      </c>
      <c r="B18" s="9" t="s">
        <v>66</v>
      </c>
      <c r="C18" s="22" t="s">
        <v>1618</v>
      </c>
      <c r="D18" s="9">
        <v>20260715</v>
      </c>
      <c r="E18" s="22">
        <v>50000</v>
      </c>
      <c r="F18" s="22">
        <v>5000</v>
      </c>
      <c r="G18" s="9">
        <v>55000</v>
      </c>
      <c r="H18" s="22" t="s">
        <v>82</v>
      </c>
      <c r="I18" s="8"/>
      <c r="J18" s="22" t="s">
        <v>363</v>
      </c>
      <c r="K18" s="22" t="s">
        <v>364</v>
      </c>
      <c r="L18" s="22" t="s">
        <v>365</v>
      </c>
      <c r="M18" s="22" t="s">
        <v>366</v>
      </c>
      <c r="N18" s="22" t="s">
        <v>367</v>
      </c>
      <c r="O18" s="22" t="s">
        <v>368</v>
      </c>
      <c r="P18" s="22" t="s">
        <v>371</v>
      </c>
      <c r="Q18" s="22" t="s">
        <v>369</v>
      </c>
      <c r="R18" s="22" t="s">
        <v>370</v>
      </c>
      <c r="S18" s="9"/>
      <c r="T18" s="9"/>
      <c r="U18" s="9"/>
      <c r="V18" s="9"/>
      <c r="W18" s="9" t="str">
        <f t="shared" si="0"/>
        <v>20260715</v>
      </c>
      <c r="X18" s="22" t="s">
        <v>1631</v>
      </c>
      <c r="Y18" s="23"/>
      <c r="Z18" s="22">
        <v>1</v>
      </c>
      <c r="AA18" s="22">
        <v>50000</v>
      </c>
      <c r="AB18" s="22">
        <v>50000</v>
      </c>
      <c r="AC18" s="22">
        <v>5000</v>
      </c>
      <c r="AD18" s="9"/>
      <c r="AE18" s="9" t="str">
        <f t="shared" si="1"/>
        <v/>
      </c>
      <c r="AF18" s="23"/>
      <c r="AG18" s="23"/>
      <c r="AH18" s="23"/>
      <c r="AI18" s="23"/>
      <c r="AJ18" s="23"/>
      <c r="AK18" s="23"/>
      <c r="AL18" s="9"/>
      <c r="AM18" s="9" t="str">
        <f t="shared" si="2"/>
        <v/>
      </c>
      <c r="AN18" s="23"/>
      <c r="AO18" s="23"/>
      <c r="AP18" s="23"/>
      <c r="AQ18" s="23"/>
      <c r="AR18" s="23"/>
      <c r="AS18" s="23"/>
      <c r="AT18" s="9"/>
      <c r="AU18" s="9" t="str">
        <f t="shared" si="3"/>
        <v/>
      </c>
      <c r="AV18" s="23"/>
      <c r="AW18" s="23"/>
      <c r="AX18" s="23"/>
      <c r="AY18" s="23"/>
      <c r="AZ18" s="23"/>
      <c r="BA18" s="23"/>
      <c r="BB18" s="9"/>
    </row>
    <row r="19" spans="1:54" ht="94.5" x14ac:dyDescent="0.3">
      <c r="A19" s="8" t="s">
        <v>65</v>
      </c>
      <c r="B19" s="9" t="s">
        <v>66</v>
      </c>
      <c r="C19" s="22" t="s">
        <v>1618</v>
      </c>
      <c r="D19" s="9">
        <v>20260715</v>
      </c>
      <c r="E19" s="22">
        <v>80000</v>
      </c>
      <c r="F19" s="22">
        <v>8000</v>
      </c>
      <c r="G19" s="9">
        <v>88000</v>
      </c>
      <c r="H19" s="22" t="s">
        <v>83</v>
      </c>
      <c r="I19" s="8"/>
      <c r="J19" s="22" t="s">
        <v>372</v>
      </c>
      <c r="K19" s="22" t="s">
        <v>373</v>
      </c>
      <c r="L19" s="22" t="s">
        <v>374</v>
      </c>
      <c r="M19" s="22" t="s">
        <v>265</v>
      </c>
      <c r="N19" s="22" t="s">
        <v>375</v>
      </c>
      <c r="O19" s="22" t="s">
        <v>376</v>
      </c>
      <c r="P19" s="22" t="s">
        <v>379</v>
      </c>
      <c r="Q19" s="22" t="s">
        <v>377</v>
      </c>
      <c r="R19" s="22" t="s">
        <v>378</v>
      </c>
      <c r="S19" s="9"/>
      <c r="T19" s="9"/>
      <c r="U19" s="9"/>
      <c r="V19" s="9"/>
      <c r="W19" s="9" t="str">
        <f t="shared" si="0"/>
        <v>20260715</v>
      </c>
      <c r="X19" s="22" t="s">
        <v>1632</v>
      </c>
      <c r="Y19" s="23"/>
      <c r="Z19" s="22">
        <v>1</v>
      </c>
      <c r="AA19" s="22">
        <v>80000</v>
      </c>
      <c r="AB19" s="22">
        <v>80000</v>
      </c>
      <c r="AC19" s="22">
        <v>8000</v>
      </c>
      <c r="AD19" s="9"/>
      <c r="AE19" s="9" t="str">
        <f t="shared" si="1"/>
        <v/>
      </c>
      <c r="AF19" s="23"/>
      <c r="AG19" s="23"/>
      <c r="AH19" s="23"/>
      <c r="AI19" s="23"/>
      <c r="AJ19" s="23"/>
      <c r="AK19" s="23"/>
      <c r="AL19" s="9"/>
      <c r="AM19" s="9" t="str">
        <f t="shared" si="2"/>
        <v/>
      </c>
      <c r="AN19" s="23"/>
      <c r="AO19" s="23"/>
      <c r="AP19" s="23"/>
      <c r="AQ19" s="23"/>
      <c r="AR19" s="23"/>
      <c r="AS19" s="23"/>
      <c r="AT19" s="9"/>
      <c r="AU19" s="9" t="str">
        <f t="shared" si="3"/>
        <v/>
      </c>
      <c r="AV19" s="23"/>
      <c r="AW19" s="23"/>
      <c r="AX19" s="23"/>
      <c r="AY19" s="23"/>
      <c r="AZ19" s="23"/>
      <c r="BA19" s="23"/>
      <c r="BB19" s="9"/>
    </row>
    <row r="20" spans="1:54" ht="94.5" x14ac:dyDescent="0.3">
      <c r="A20" s="8" t="s">
        <v>65</v>
      </c>
      <c r="B20" s="9" t="s">
        <v>66</v>
      </c>
      <c r="C20" s="22" t="s">
        <v>1618</v>
      </c>
      <c r="D20" s="9">
        <v>20260715</v>
      </c>
      <c r="E20" s="22">
        <v>280000</v>
      </c>
      <c r="F20" s="22">
        <v>28000</v>
      </c>
      <c r="G20" s="9">
        <v>308000</v>
      </c>
      <c r="H20" s="22" t="s">
        <v>84</v>
      </c>
      <c r="I20" s="8"/>
      <c r="J20" s="22" t="s">
        <v>380</v>
      </c>
      <c r="K20" s="22" t="s">
        <v>381</v>
      </c>
      <c r="L20" s="22" t="s">
        <v>382</v>
      </c>
      <c r="M20" s="22" t="s">
        <v>383</v>
      </c>
      <c r="N20" s="22" t="s">
        <v>384</v>
      </c>
      <c r="O20" s="22" t="s">
        <v>385</v>
      </c>
      <c r="P20" s="22" t="s">
        <v>387</v>
      </c>
      <c r="Q20" s="22" t="s">
        <v>386</v>
      </c>
      <c r="R20" s="22" t="s">
        <v>292</v>
      </c>
      <c r="S20" s="9"/>
      <c r="T20" s="9"/>
      <c r="U20" s="9"/>
      <c r="V20" s="9"/>
      <c r="W20" s="9" t="str">
        <f t="shared" si="0"/>
        <v>20260715</v>
      </c>
      <c r="X20" s="22" t="s">
        <v>1633</v>
      </c>
      <c r="Y20" s="23"/>
      <c r="Z20" s="22">
        <v>1</v>
      </c>
      <c r="AA20" s="22">
        <v>280000</v>
      </c>
      <c r="AB20" s="22">
        <v>280000</v>
      </c>
      <c r="AC20" s="22">
        <v>28000</v>
      </c>
      <c r="AD20" s="9"/>
      <c r="AE20" s="9" t="str">
        <f t="shared" si="1"/>
        <v/>
      </c>
      <c r="AF20" s="23"/>
      <c r="AG20" s="23"/>
      <c r="AH20" s="23"/>
      <c r="AI20" s="23"/>
      <c r="AJ20" s="23"/>
      <c r="AK20" s="23"/>
      <c r="AL20" s="9"/>
      <c r="AM20" s="9" t="str">
        <f t="shared" si="2"/>
        <v/>
      </c>
      <c r="AN20" s="23"/>
      <c r="AO20" s="23"/>
      <c r="AP20" s="23"/>
      <c r="AQ20" s="23"/>
      <c r="AR20" s="23"/>
      <c r="AS20" s="23"/>
      <c r="AT20" s="9"/>
      <c r="AU20" s="9" t="str">
        <f t="shared" si="3"/>
        <v/>
      </c>
      <c r="AV20" s="23"/>
      <c r="AW20" s="23"/>
      <c r="AX20" s="23"/>
      <c r="AY20" s="23"/>
      <c r="AZ20" s="23"/>
      <c r="BA20" s="23"/>
      <c r="BB20" s="9"/>
    </row>
    <row r="21" spans="1:54" ht="67.5" x14ac:dyDescent="0.3">
      <c r="A21" s="8" t="s">
        <v>65</v>
      </c>
      <c r="B21" s="9" t="s">
        <v>66</v>
      </c>
      <c r="C21" s="22" t="s">
        <v>1618</v>
      </c>
      <c r="D21" s="9">
        <v>20260715</v>
      </c>
      <c r="E21" s="22">
        <v>2228000</v>
      </c>
      <c r="F21" s="22">
        <v>222800</v>
      </c>
      <c r="G21" s="9">
        <v>2450800</v>
      </c>
      <c r="H21" s="22" t="s">
        <v>85</v>
      </c>
      <c r="I21" s="8"/>
      <c r="J21" s="22" t="s">
        <v>388</v>
      </c>
      <c r="K21" s="22" t="s">
        <v>389</v>
      </c>
      <c r="L21" s="22" t="s">
        <v>390</v>
      </c>
      <c r="M21" s="22" t="s">
        <v>391</v>
      </c>
      <c r="N21" s="22" t="s">
        <v>392</v>
      </c>
      <c r="O21" s="22" t="s">
        <v>393</v>
      </c>
      <c r="P21" s="22" t="s">
        <v>395</v>
      </c>
      <c r="Q21" s="22" t="s">
        <v>259</v>
      </c>
      <c r="R21" s="22" t="s">
        <v>394</v>
      </c>
      <c r="S21" s="9"/>
      <c r="T21" s="9"/>
      <c r="U21" s="9"/>
      <c r="V21" s="9"/>
      <c r="W21" s="9" t="str">
        <f t="shared" si="0"/>
        <v>20260715</v>
      </c>
      <c r="X21" s="22" t="s">
        <v>1620</v>
      </c>
      <c r="Y21" s="23"/>
      <c r="Z21" s="22">
        <v>1</v>
      </c>
      <c r="AA21" s="22">
        <v>2228000</v>
      </c>
      <c r="AB21" s="22">
        <v>2228000</v>
      </c>
      <c r="AC21" s="22">
        <v>222800</v>
      </c>
      <c r="AD21" s="9"/>
      <c r="AE21" s="9" t="str">
        <f t="shared" si="1"/>
        <v/>
      </c>
      <c r="AF21" s="23"/>
      <c r="AG21" s="23"/>
      <c r="AH21" s="23"/>
      <c r="AI21" s="23"/>
      <c r="AJ21" s="23"/>
      <c r="AK21" s="23"/>
      <c r="AL21" s="9"/>
      <c r="AM21" s="9" t="str">
        <f t="shared" si="2"/>
        <v/>
      </c>
      <c r="AN21" s="23"/>
      <c r="AO21" s="23"/>
      <c r="AP21" s="23"/>
      <c r="AQ21" s="23"/>
      <c r="AR21" s="23"/>
      <c r="AS21" s="23"/>
      <c r="AT21" s="9"/>
      <c r="AU21" s="9" t="str">
        <f t="shared" si="3"/>
        <v/>
      </c>
      <c r="AV21" s="23"/>
      <c r="AW21" s="23"/>
      <c r="AX21" s="23"/>
      <c r="AY21" s="23"/>
      <c r="AZ21" s="23"/>
      <c r="BA21" s="23"/>
      <c r="BB21" s="9"/>
    </row>
    <row r="22" spans="1:54" ht="40.5" x14ac:dyDescent="0.3">
      <c r="A22" s="8" t="s">
        <v>65</v>
      </c>
      <c r="B22" s="9" t="s">
        <v>66</v>
      </c>
      <c r="C22" s="22" t="s">
        <v>1618</v>
      </c>
      <c r="D22" s="9">
        <v>20260715</v>
      </c>
      <c r="E22" s="22">
        <v>258600</v>
      </c>
      <c r="F22" s="22">
        <v>25860</v>
      </c>
      <c r="G22" s="9">
        <v>284460</v>
      </c>
      <c r="H22" s="22" t="s">
        <v>86</v>
      </c>
      <c r="I22" s="8"/>
      <c r="J22" s="22" t="s">
        <v>396</v>
      </c>
      <c r="K22" s="22" t="s">
        <v>397</v>
      </c>
      <c r="L22" s="22" t="s">
        <v>398</v>
      </c>
      <c r="M22" s="22" t="s">
        <v>399</v>
      </c>
      <c r="N22" s="22" t="s">
        <v>400</v>
      </c>
      <c r="O22" s="22" t="s">
        <v>401</v>
      </c>
      <c r="P22" s="22" t="s">
        <v>403</v>
      </c>
      <c r="Q22" s="22" t="s">
        <v>402</v>
      </c>
      <c r="R22" s="22" t="s">
        <v>292</v>
      </c>
      <c r="S22" s="9"/>
      <c r="T22" s="9"/>
      <c r="U22" s="9"/>
      <c r="V22" s="9"/>
      <c r="W22" s="9" t="str">
        <f t="shared" si="0"/>
        <v>20260715</v>
      </c>
      <c r="X22" s="22" t="s">
        <v>1633</v>
      </c>
      <c r="Y22" s="23"/>
      <c r="Z22" s="22">
        <v>1</v>
      </c>
      <c r="AA22" s="22">
        <v>258600</v>
      </c>
      <c r="AB22" s="22">
        <v>258600</v>
      </c>
      <c r="AC22" s="22">
        <v>25860</v>
      </c>
      <c r="AD22" s="9"/>
      <c r="AE22" s="9" t="str">
        <f t="shared" si="1"/>
        <v/>
      </c>
      <c r="AF22" s="23"/>
      <c r="AG22" s="23"/>
      <c r="AH22" s="23"/>
      <c r="AI22" s="23"/>
      <c r="AJ22" s="23"/>
      <c r="AK22" s="23"/>
      <c r="AL22" s="9"/>
      <c r="AM22" s="9" t="str">
        <f t="shared" si="2"/>
        <v/>
      </c>
      <c r="AN22" s="23"/>
      <c r="AO22" s="23"/>
      <c r="AP22" s="23"/>
      <c r="AQ22" s="23"/>
      <c r="AR22" s="23"/>
      <c r="AS22" s="23"/>
      <c r="AT22" s="9"/>
      <c r="AU22" s="9" t="str">
        <f t="shared" si="3"/>
        <v/>
      </c>
      <c r="AV22" s="23"/>
      <c r="AW22" s="23"/>
      <c r="AX22" s="23"/>
      <c r="AY22" s="23"/>
      <c r="AZ22" s="23"/>
      <c r="BA22" s="23"/>
      <c r="BB22" s="9"/>
    </row>
    <row r="23" spans="1:54" ht="54" x14ac:dyDescent="0.3">
      <c r="A23" s="8" t="s">
        <v>65</v>
      </c>
      <c r="B23" s="9" t="s">
        <v>66</v>
      </c>
      <c r="C23" s="22" t="s">
        <v>1618</v>
      </c>
      <c r="D23" s="9">
        <v>20260715</v>
      </c>
      <c r="E23" s="22">
        <v>98000</v>
      </c>
      <c r="F23" s="22">
        <v>9800</v>
      </c>
      <c r="G23" s="9">
        <v>107800</v>
      </c>
      <c r="H23" s="22" t="s">
        <v>87</v>
      </c>
      <c r="I23" s="8"/>
      <c r="J23" s="22" t="s">
        <v>404</v>
      </c>
      <c r="K23" s="22" t="s">
        <v>405</v>
      </c>
      <c r="L23" s="22" t="s">
        <v>406</v>
      </c>
      <c r="M23" s="22" t="s">
        <v>407</v>
      </c>
      <c r="N23" s="22" t="s">
        <v>408</v>
      </c>
      <c r="O23" s="22" t="s">
        <v>409</v>
      </c>
      <c r="P23" s="22" t="s">
        <v>411</v>
      </c>
      <c r="Q23" s="22" t="s">
        <v>410</v>
      </c>
      <c r="R23" s="22" t="s">
        <v>410</v>
      </c>
      <c r="S23" s="9"/>
      <c r="T23" s="9"/>
      <c r="U23" s="9"/>
      <c r="V23" s="9"/>
      <c r="W23" s="9" t="str">
        <f t="shared" si="0"/>
        <v>20260715</v>
      </c>
      <c r="X23" s="22" t="s">
        <v>1634</v>
      </c>
      <c r="Y23" s="23"/>
      <c r="Z23" s="22">
        <v>1</v>
      </c>
      <c r="AA23" s="22">
        <v>98000</v>
      </c>
      <c r="AB23" s="22">
        <v>98000</v>
      </c>
      <c r="AC23" s="22">
        <v>9800</v>
      </c>
      <c r="AD23" s="9"/>
      <c r="AE23" s="9" t="str">
        <f t="shared" si="1"/>
        <v/>
      </c>
      <c r="AF23" s="23"/>
      <c r="AG23" s="23"/>
      <c r="AH23" s="23"/>
      <c r="AI23" s="23"/>
      <c r="AJ23" s="23"/>
      <c r="AK23" s="23"/>
      <c r="AL23" s="9"/>
      <c r="AM23" s="9" t="str">
        <f t="shared" si="2"/>
        <v/>
      </c>
      <c r="AN23" s="23"/>
      <c r="AO23" s="23"/>
      <c r="AP23" s="23"/>
      <c r="AQ23" s="23"/>
      <c r="AR23" s="23"/>
      <c r="AS23" s="23"/>
      <c r="AT23" s="9"/>
      <c r="AU23" s="9" t="str">
        <f t="shared" si="3"/>
        <v/>
      </c>
      <c r="AV23" s="23"/>
      <c r="AW23" s="23"/>
      <c r="AX23" s="23"/>
      <c r="AY23" s="23"/>
      <c r="AZ23" s="23"/>
      <c r="BA23" s="23"/>
      <c r="BB23" s="9"/>
    </row>
    <row r="24" spans="1:54" ht="67.5" x14ac:dyDescent="0.3">
      <c r="A24" s="8" t="s">
        <v>65</v>
      </c>
      <c r="B24" s="9" t="s">
        <v>66</v>
      </c>
      <c r="C24" s="22" t="s">
        <v>1618</v>
      </c>
      <c r="D24" s="9">
        <v>20260715</v>
      </c>
      <c r="E24" s="22">
        <v>170000</v>
      </c>
      <c r="F24" s="22">
        <v>17000</v>
      </c>
      <c r="G24" s="9">
        <v>187000</v>
      </c>
      <c r="H24" s="22" t="s">
        <v>88</v>
      </c>
      <c r="I24" s="8"/>
      <c r="J24" s="22" t="s">
        <v>412</v>
      </c>
      <c r="K24" s="22" t="s">
        <v>413</v>
      </c>
      <c r="L24" s="22" t="s">
        <v>414</v>
      </c>
      <c r="M24" s="22" t="s">
        <v>415</v>
      </c>
      <c r="N24" s="22" t="s">
        <v>416</v>
      </c>
      <c r="O24" s="22" t="s">
        <v>417</v>
      </c>
      <c r="P24" s="22" t="s">
        <v>420</v>
      </c>
      <c r="Q24" s="22" t="s">
        <v>418</v>
      </c>
      <c r="R24" s="22" t="s">
        <v>419</v>
      </c>
      <c r="S24" s="9"/>
      <c r="T24" s="9"/>
      <c r="U24" s="9"/>
      <c r="V24" s="9"/>
      <c r="W24" s="9" t="str">
        <f t="shared" si="0"/>
        <v>20260715</v>
      </c>
      <c r="X24" s="22" t="s">
        <v>1635</v>
      </c>
      <c r="Y24" s="23"/>
      <c r="Z24" s="22">
        <v>1</v>
      </c>
      <c r="AA24" s="22">
        <v>170000</v>
      </c>
      <c r="AB24" s="22">
        <v>170000</v>
      </c>
      <c r="AC24" s="22">
        <v>17000</v>
      </c>
      <c r="AD24" s="9"/>
      <c r="AE24" s="9" t="str">
        <f t="shared" si="1"/>
        <v/>
      </c>
      <c r="AF24" s="23"/>
      <c r="AG24" s="23"/>
      <c r="AH24" s="23"/>
      <c r="AI24" s="23"/>
      <c r="AJ24" s="23"/>
      <c r="AK24" s="23"/>
      <c r="AL24" s="9"/>
      <c r="AM24" s="9" t="str">
        <f t="shared" si="2"/>
        <v/>
      </c>
      <c r="AN24" s="23"/>
      <c r="AO24" s="23"/>
      <c r="AP24" s="23"/>
      <c r="AQ24" s="23"/>
      <c r="AR24" s="23"/>
      <c r="AS24" s="23"/>
      <c r="AT24" s="9"/>
      <c r="AU24" s="9" t="str">
        <f t="shared" si="3"/>
        <v/>
      </c>
      <c r="AV24" s="23"/>
      <c r="AW24" s="23"/>
      <c r="AX24" s="23"/>
      <c r="AY24" s="23"/>
      <c r="AZ24" s="23"/>
      <c r="BA24" s="23"/>
      <c r="BB24" s="9"/>
    </row>
    <row r="25" spans="1:54" ht="54" x14ac:dyDescent="0.3">
      <c r="A25" s="8" t="s">
        <v>65</v>
      </c>
      <c r="B25" s="9" t="s">
        <v>66</v>
      </c>
      <c r="C25" s="22" t="s">
        <v>1618</v>
      </c>
      <c r="D25" s="9">
        <v>20260715</v>
      </c>
      <c r="E25" s="22">
        <v>250000</v>
      </c>
      <c r="F25" s="22">
        <v>25000</v>
      </c>
      <c r="G25" s="9">
        <v>275000</v>
      </c>
      <c r="H25" s="22" t="s">
        <v>89</v>
      </c>
      <c r="I25" s="8"/>
      <c r="J25" s="22" t="s">
        <v>421</v>
      </c>
      <c r="K25" s="22" t="s">
        <v>422</v>
      </c>
      <c r="L25" s="22" t="s">
        <v>423</v>
      </c>
      <c r="M25" s="22" t="s">
        <v>424</v>
      </c>
      <c r="N25" s="22" t="s">
        <v>425</v>
      </c>
      <c r="O25" s="22" t="s">
        <v>426</v>
      </c>
      <c r="P25" s="22" t="s">
        <v>429</v>
      </c>
      <c r="Q25" s="22" t="s">
        <v>427</v>
      </c>
      <c r="R25" s="22" t="s">
        <v>428</v>
      </c>
      <c r="S25" s="9"/>
      <c r="T25" s="9"/>
      <c r="U25" s="9"/>
      <c r="V25" s="9"/>
      <c r="W25" s="9" t="str">
        <f t="shared" si="0"/>
        <v>20260715</v>
      </c>
      <c r="X25" s="22" t="s">
        <v>1636</v>
      </c>
      <c r="Y25" s="23"/>
      <c r="Z25" s="22">
        <v>1</v>
      </c>
      <c r="AA25" s="22">
        <v>250000</v>
      </c>
      <c r="AB25" s="22">
        <v>250000</v>
      </c>
      <c r="AC25" s="22">
        <v>25000</v>
      </c>
      <c r="AD25" s="9"/>
      <c r="AE25" s="9" t="str">
        <f t="shared" si="1"/>
        <v/>
      </c>
      <c r="AF25" s="23"/>
      <c r="AG25" s="23"/>
      <c r="AH25" s="23"/>
      <c r="AI25" s="23"/>
      <c r="AJ25" s="23"/>
      <c r="AK25" s="23"/>
      <c r="AL25" s="9"/>
      <c r="AM25" s="9" t="str">
        <f t="shared" si="2"/>
        <v/>
      </c>
      <c r="AN25" s="23"/>
      <c r="AO25" s="23"/>
      <c r="AP25" s="23"/>
      <c r="AQ25" s="23"/>
      <c r="AR25" s="23"/>
      <c r="AS25" s="23"/>
      <c r="AT25" s="9"/>
      <c r="AU25" s="9" t="str">
        <f t="shared" si="3"/>
        <v/>
      </c>
      <c r="AV25" s="23"/>
      <c r="AW25" s="23"/>
      <c r="AX25" s="23"/>
      <c r="AY25" s="23"/>
      <c r="AZ25" s="23"/>
      <c r="BA25" s="23"/>
      <c r="BB25" s="9"/>
    </row>
    <row r="26" spans="1:54" ht="40.5" x14ac:dyDescent="0.3">
      <c r="A26" s="8" t="s">
        <v>65</v>
      </c>
      <c r="B26" s="9" t="s">
        <v>66</v>
      </c>
      <c r="C26" s="22" t="s">
        <v>1618</v>
      </c>
      <c r="D26" s="9">
        <v>20260715</v>
      </c>
      <c r="E26" s="22">
        <v>70000</v>
      </c>
      <c r="F26" s="22">
        <v>7000</v>
      </c>
      <c r="G26" s="9">
        <v>77000</v>
      </c>
      <c r="H26" s="22" t="s">
        <v>90</v>
      </c>
      <c r="I26" s="8"/>
      <c r="J26" s="22" t="s">
        <v>430</v>
      </c>
      <c r="K26" s="22" t="s">
        <v>431</v>
      </c>
      <c r="L26" s="22" t="s">
        <v>432</v>
      </c>
      <c r="M26" s="22" t="s">
        <v>433</v>
      </c>
      <c r="N26" s="22" t="s">
        <v>434</v>
      </c>
      <c r="O26" s="22" t="s">
        <v>435</v>
      </c>
      <c r="P26" s="22" t="s">
        <v>436</v>
      </c>
      <c r="Q26" s="22" t="s">
        <v>292</v>
      </c>
      <c r="R26" s="22" t="s">
        <v>292</v>
      </c>
      <c r="S26" s="9"/>
      <c r="T26" s="9"/>
      <c r="U26" s="9"/>
      <c r="V26" s="9"/>
      <c r="W26" s="9" t="str">
        <f t="shared" si="0"/>
        <v>20260715</v>
      </c>
      <c r="X26" s="22" t="s">
        <v>1624</v>
      </c>
      <c r="Y26" s="23"/>
      <c r="Z26" s="22">
        <v>1</v>
      </c>
      <c r="AA26" s="22">
        <v>70000</v>
      </c>
      <c r="AB26" s="22">
        <v>70000</v>
      </c>
      <c r="AC26" s="22">
        <v>7000</v>
      </c>
      <c r="AD26" s="9"/>
      <c r="AE26" s="9" t="str">
        <f t="shared" si="1"/>
        <v/>
      </c>
      <c r="AF26" s="23"/>
      <c r="AG26" s="23"/>
      <c r="AH26" s="23"/>
      <c r="AI26" s="23"/>
      <c r="AJ26" s="23"/>
      <c r="AK26" s="23"/>
      <c r="AL26" s="9"/>
      <c r="AM26" s="9" t="str">
        <f t="shared" si="2"/>
        <v/>
      </c>
      <c r="AN26" s="23"/>
      <c r="AO26" s="23"/>
      <c r="AP26" s="23"/>
      <c r="AQ26" s="23"/>
      <c r="AR26" s="23"/>
      <c r="AS26" s="23"/>
      <c r="AT26" s="9"/>
      <c r="AU26" s="9" t="str">
        <f t="shared" si="3"/>
        <v/>
      </c>
      <c r="AV26" s="23"/>
      <c r="AW26" s="23"/>
      <c r="AX26" s="23"/>
      <c r="AY26" s="23"/>
      <c r="AZ26" s="23"/>
      <c r="BA26" s="23"/>
      <c r="BB26" s="9"/>
    </row>
    <row r="27" spans="1:54" ht="67.5" x14ac:dyDescent="0.3">
      <c r="A27" s="8" t="s">
        <v>65</v>
      </c>
      <c r="B27" s="9" t="s">
        <v>66</v>
      </c>
      <c r="C27" s="22" t="s">
        <v>1618</v>
      </c>
      <c r="D27" s="9">
        <v>20260715</v>
      </c>
      <c r="E27" s="22">
        <v>170000</v>
      </c>
      <c r="F27" s="22">
        <v>17000</v>
      </c>
      <c r="G27" s="9">
        <v>187000</v>
      </c>
      <c r="H27" s="22" t="s">
        <v>91</v>
      </c>
      <c r="I27" s="8"/>
      <c r="J27" s="22" t="s">
        <v>437</v>
      </c>
      <c r="K27" s="22" t="s">
        <v>413</v>
      </c>
      <c r="L27" s="22" t="s">
        <v>438</v>
      </c>
      <c r="M27" s="22" t="s">
        <v>439</v>
      </c>
      <c r="N27" s="22" t="s">
        <v>440</v>
      </c>
      <c r="O27" s="22" t="s">
        <v>417</v>
      </c>
      <c r="P27" s="22" t="s">
        <v>420</v>
      </c>
      <c r="Q27" s="22" t="s">
        <v>418</v>
      </c>
      <c r="R27" s="22" t="s">
        <v>419</v>
      </c>
      <c r="S27" s="9"/>
      <c r="T27" s="9"/>
      <c r="U27" s="9"/>
      <c r="V27" s="9"/>
      <c r="W27" s="9" t="str">
        <f t="shared" si="0"/>
        <v>20260715</v>
      </c>
      <c r="X27" s="22" t="s">
        <v>1637</v>
      </c>
      <c r="Y27" s="23"/>
      <c r="Z27" s="22">
        <v>1</v>
      </c>
      <c r="AA27" s="22">
        <v>170000</v>
      </c>
      <c r="AB27" s="22">
        <v>170000</v>
      </c>
      <c r="AC27" s="22">
        <v>17000</v>
      </c>
      <c r="AD27" s="9"/>
      <c r="AE27" s="9" t="str">
        <f t="shared" si="1"/>
        <v/>
      </c>
      <c r="AF27" s="23"/>
      <c r="AG27" s="23"/>
      <c r="AH27" s="23"/>
      <c r="AI27" s="23"/>
      <c r="AJ27" s="23"/>
      <c r="AK27" s="23"/>
      <c r="AL27" s="9"/>
      <c r="AM27" s="9" t="str">
        <f t="shared" si="2"/>
        <v/>
      </c>
      <c r="AN27" s="23"/>
      <c r="AO27" s="23"/>
      <c r="AP27" s="23"/>
      <c r="AQ27" s="23"/>
      <c r="AR27" s="23"/>
      <c r="AS27" s="23"/>
      <c r="AT27" s="9"/>
      <c r="AU27" s="9" t="str">
        <f t="shared" si="3"/>
        <v/>
      </c>
      <c r="AV27" s="23"/>
      <c r="AW27" s="23"/>
      <c r="AX27" s="23"/>
      <c r="AY27" s="23"/>
      <c r="AZ27" s="23"/>
      <c r="BA27" s="23"/>
      <c r="BB27" s="9"/>
    </row>
    <row r="28" spans="1:54" ht="94.5" x14ac:dyDescent="0.3">
      <c r="A28" s="8" t="s">
        <v>65</v>
      </c>
      <c r="B28" s="9" t="s">
        <v>66</v>
      </c>
      <c r="C28" s="22" t="s">
        <v>1618</v>
      </c>
      <c r="D28" s="9">
        <v>20260715</v>
      </c>
      <c r="E28" s="22">
        <v>330000</v>
      </c>
      <c r="F28" s="22">
        <v>33000</v>
      </c>
      <c r="G28" s="9">
        <v>363000</v>
      </c>
      <c r="H28" s="22" t="s">
        <v>92</v>
      </c>
      <c r="I28" s="8"/>
      <c r="J28" s="22" t="s">
        <v>441</v>
      </c>
      <c r="K28" s="22" t="s">
        <v>442</v>
      </c>
      <c r="L28" s="22" t="s">
        <v>443</v>
      </c>
      <c r="M28" s="22" t="s">
        <v>312</v>
      </c>
      <c r="N28" s="22" t="s">
        <v>444</v>
      </c>
      <c r="O28" s="22" t="s">
        <v>445</v>
      </c>
      <c r="P28" s="22" t="s">
        <v>448</v>
      </c>
      <c r="Q28" s="22" t="s">
        <v>446</v>
      </c>
      <c r="R28" s="22" t="s">
        <v>447</v>
      </c>
      <c r="S28" s="9"/>
      <c r="T28" s="9"/>
      <c r="U28" s="9"/>
      <c r="V28" s="9"/>
      <c r="W28" s="9" t="str">
        <f t="shared" si="0"/>
        <v>20260715</v>
      </c>
      <c r="X28" s="22" t="s">
        <v>1638</v>
      </c>
      <c r="Y28" s="23"/>
      <c r="Z28" s="22">
        <v>1</v>
      </c>
      <c r="AA28" s="22">
        <v>150000</v>
      </c>
      <c r="AB28" s="22">
        <v>150000</v>
      </c>
      <c r="AC28" s="22">
        <v>15000</v>
      </c>
      <c r="AD28" s="9"/>
      <c r="AE28" s="9" t="str">
        <f t="shared" si="1"/>
        <v>20260715</v>
      </c>
      <c r="AF28" s="22" t="s">
        <v>1686</v>
      </c>
      <c r="AG28" s="23"/>
      <c r="AH28" s="22">
        <v>1</v>
      </c>
      <c r="AI28" s="22">
        <v>180000</v>
      </c>
      <c r="AJ28" s="22">
        <v>180000</v>
      </c>
      <c r="AK28" s="22">
        <v>18000</v>
      </c>
      <c r="AL28" s="9"/>
      <c r="AM28" s="9" t="str">
        <f t="shared" si="2"/>
        <v/>
      </c>
      <c r="AN28" s="23"/>
      <c r="AO28" s="23"/>
      <c r="AP28" s="23"/>
      <c r="AQ28" s="23"/>
      <c r="AR28" s="23"/>
      <c r="AS28" s="23"/>
      <c r="AT28" s="9"/>
      <c r="AU28" s="9" t="str">
        <f t="shared" si="3"/>
        <v/>
      </c>
      <c r="AV28" s="23"/>
      <c r="AW28" s="23"/>
      <c r="AX28" s="23"/>
      <c r="AY28" s="23"/>
      <c r="AZ28" s="23"/>
      <c r="BA28" s="23"/>
      <c r="BB28" s="9"/>
    </row>
    <row r="29" spans="1:54" ht="67.5" x14ac:dyDescent="0.3">
      <c r="A29" s="8" t="s">
        <v>65</v>
      </c>
      <c r="B29" s="9" t="s">
        <v>66</v>
      </c>
      <c r="C29" s="22" t="s">
        <v>1618</v>
      </c>
      <c r="D29" s="9">
        <v>20260715</v>
      </c>
      <c r="E29" s="22">
        <v>300000</v>
      </c>
      <c r="F29" s="22">
        <v>30000</v>
      </c>
      <c r="G29" s="9">
        <v>330000</v>
      </c>
      <c r="H29" s="22" t="s">
        <v>93</v>
      </c>
      <c r="I29" s="8"/>
      <c r="J29" s="22" t="s">
        <v>449</v>
      </c>
      <c r="K29" s="22" t="s">
        <v>450</v>
      </c>
      <c r="L29" s="22" t="s">
        <v>451</v>
      </c>
      <c r="M29" s="22" t="s">
        <v>452</v>
      </c>
      <c r="N29" s="22" t="s">
        <v>453</v>
      </c>
      <c r="O29" s="22" t="s">
        <v>454</v>
      </c>
      <c r="P29" s="22" t="s">
        <v>456</v>
      </c>
      <c r="Q29" s="22" t="s">
        <v>455</v>
      </c>
      <c r="R29" s="22" t="s">
        <v>455</v>
      </c>
      <c r="S29" s="9"/>
      <c r="T29" s="9"/>
      <c r="U29" s="9"/>
      <c r="V29" s="9"/>
      <c r="W29" s="9" t="str">
        <f t="shared" si="0"/>
        <v>20260715</v>
      </c>
      <c r="X29" s="22" t="s">
        <v>1631</v>
      </c>
      <c r="Y29" s="23"/>
      <c r="Z29" s="22">
        <v>1</v>
      </c>
      <c r="AA29" s="22">
        <v>300000</v>
      </c>
      <c r="AB29" s="22">
        <v>300000</v>
      </c>
      <c r="AC29" s="22">
        <v>30000</v>
      </c>
      <c r="AD29" s="9"/>
      <c r="AE29" s="9" t="str">
        <f t="shared" si="1"/>
        <v/>
      </c>
      <c r="AF29" s="23"/>
      <c r="AG29" s="23"/>
      <c r="AH29" s="23"/>
      <c r="AI29" s="23"/>
      <c r="AJ29" s="23"/>
      <c r="AK29" s="23"/>
      <c r="AL29" s="9"/>
      <c r="AM29" s="9" t="str">
        <f t="shared" si="2"/>
        <v/>
      </c>
      <c r="AN29" s="23"/>
      <c r="AO29" s="23"/>
      <c r="AP29" s="23"/>
      <c r="AQ29" s="23"/>
      <c r="AR29" s="23"/>
      <c r="AS29" s="23"/>
      <c r="AT29" s="9"/>
      <c r="AU29" s="9" t="str">
        <f t="shared" si="3"/>
        <v/>
      </c>
      <c r="AV29" s="23"/>
      <c r="AW29" s="23"/>
      <c r="AX29" s="23"/>
      <c r="AY29" s="23"/>
      <c r="AZ29" s="23"/>
      <c r="BA29" s="23"/>
      <c r="BB29" s="9"/>
    </row>
    <row r="30" spans="1:54" ht="81" x14ac:dyDescent="0.3">
      <c r="A30" s="8" t="s">
        <v>65</v>
      </c>
      <c r="B30" s="9" t="s">
        <v>66</v>
      </c>
      <c r="C30" s="22" t="s">
        <v>1618</v>
      </c>
      <c r="D30" s="9">
        <v>20260715</v>
      </c>
      <c r="E30" s="22">
        <v>50000</v>
      </c>
      <c r="F30" s="22">
        <v>5000</v>
      </c>
      <c r="G30" s="9">
        <v>55000</v>
      </c>
      <c r="H30" s="22" t="s">
        <v>94</v>
      </c>
      <c r="I30" s="8"/>
      <c r="J30" s="22" t="s">
        <v>457</v>
      </c>
      <c r="K30" s="22" t="s">
        <v>458</v>
      </c>
      <c r="L30" s="22" t="s">
        <v>459</v>
      </c>
      <c r="M30" s="22" t="s">
        <v>273</v>
      </c>
      <c r="N30" s="22" t="s">
        <v>460</v>
      </c>
      <c r="O30" s="22" t="s">
        <v>458</v>
      </c>
      <c r="P30" s="22" t="s">
        <v>463</v>
      </c>
      <c r="Q30" s="22" t="s">
        <v>461</v>
      </c>
      <c r="R30" s="22" t="s">
        <v>462</v>
      </c>
      <c r="S30" s="9"/>
      <c r="T30" s="9"/>
      <c r="U30" s="9"/>
      <c r="V30" s="9"/>
      <c r="W30" s="9" t="str">
        <f t="shared" si="0"/>
        <v>20260715</v>
      </c>
      <c r="X30" s="22" t="s">
        <v>1639</v>
      </c>
      <c r="Y30" s="23"/>
      <c r="Z30" s="22">
        <v>1</v>
      </c>
      <c r="AA30" s="22">
        <v>20000</v>
      </c>
      <c r="AB30" s="22">
        <v>20000</v>
      </c>
      <c r="AC30" s="22">
        <v>2000</v>
      </c>
      <c r="AD30" s="9"/>
      <c r="AE30" s="9" t="str">
        <f t="shared" si="1"/>
        <v>20260715</v>
      </c>
      <c r="AF30" s="22" t="s">
        <v>1628</v>
      </c>
      <c r="AG30" s="23"/>
      <c r="AH30" s="22">
        <v>1</v>
      </c>
      <c r="AI30" s="22">
        <v>30000</v>
      </c>
      <c r="AJ30" s="22">
        <v>30000</v>
      </c>
      <c r="AK30" s="22">
        <v>3000</v>
      </c>
      <c r="AL30" s="9"/>
      <c r="AM30" s="9" t="str">
        <f t="shared" si="2"/>
        <v/>
      </c>
      <c r="AN30" s="23"/>
      <c r="AO30" s="23"/>
      <c r="AP30" s="23"/>
      <c r="AQ30" s="23"/>
      <c r="AR30" s="23"/>
      <c r="AS30" s="23"/>
      <c r="AT30" s="9"/>
      <c r="AU30" s="9" t="str">
        <f t="shared" si="3"/>
        <v/>
      </c>
      <c r="AV30" s="23"/>
      <c r="AW30" s="23"/>
      <c r="AX30" s="23"/>
      <c r="AY30" s="23"/>
      <c r="AZ30" s="23"/>
      <c r="BA30" s="23"/>
      <c r="BB30" s="9"/>
    </row>
    <row r="31" spans="1:54" ht="67.5" x14ac:dyDescent="0.3">
      <c r="A31" s="8" t="s">
        <v>65</v>
      </c>
      <c r="B31" s="9" t="s">
        <v>66</v>
      </c>
      <c r="C31" s="22" t="s">
        <v>1618</v>
      </c>
      <c r="D31" s="9">
        <v>20260715</v>
      </c>
      <c r="E31" s="22">
        <v>50000</v>
      </c>
      <c r="F31" s="22">
        <v>5000</v>
      </c>
      <c r="G31" s="9">
        <v>55000</v>
      </c>
      <c r="H31" s="22" t="s">
        <v>95</v>
      </c>
      <c r="I31" s="8"/>
      <c r="J31" s="22" t="s">
        <v>464</v>
      </c>
      <c r="K31" s="22" t="s">
        <v>465</v>
      </c>
      <c r="L31" s="22" t="s">
        <v>466</v>
      </c>
      <c r="M31" s="22" t="s">
        <v>452</v>
      </c>
      <c r="N31" s="22" t="s">
        <v>467</v>
      </c>
      <c r="O31" s="22" t="s">
        <v>468</v>
      </c>
      <c r="P31" s="22" t="s">
        <v>471</v>
      </c>
      <c r="Q31" s="22" t="s">
        <v>469</v>
      </c>
      <c r="R31" s="22" t="s">
        <v>470</v>
      </c>
      <c r="S31" s="9"/>
      <c r="T31" s="9"/>
      <c r="U31" s="9"/>
      <c r="V31" s="9"/>
      <c r="W31" s="9" t="str">
        <f t="shared" si="0"/>
        <v>20260715</v>
      </c>
      <c r="X31" s="22" t="s">
        <v>1640</v>
      </c>
      <c r="Y31" s="23"/>
      <c r="Z31" s="22">
        <v>1</v>
      </c>
      <c r="AA31" s="22">
        <v>50000</v>
      </c>
      <c r="AB31" s="22">
        <v>50000</v>
      </c>
      <c r="AC31" s="22">
        <v>5000</v>
      </c>
      <c r="AD31" s="9"/>
      <c r="AE31" s="9" t="str">
        <f t="shared" si="1"/>
        <v/>
      </c>
      <c r="AF31" s="23"/>
      <c r="AG31" s="23"/>
      <c r="AH31" s="23"/>
      <c r="AI31" s="23"/>
      <c r="AJ31" s="23"/>
      <c r="AK31" s="23"/>
      <c r="AL31" s="9"/>
      <c r="AM31" s="9" t="str">
        <f t="shared" si="2"/>
        <v/>
      </c>
      <c r="AN31" s="23"/>
      <c r="AO31" s="23"/>
      <c r="AP31" s="23"/>
      <c r="AQ31" s="23"/>
      <c r="AR31" s="23"/>
      <c r="AS31" s="23"/>
      <c r="AT31" s="9"/>
      <c r="AU31" s="9" t="str">
        <f t="shared" si="3"/>
        <v/>
      </c>
      <c r="AV31" s="23"/>
      <c r="AW31" s="23"/>
      <c r="AX31" s="23"/>
      <c r="AY31" s="23"/>
      <c r="AZ31" s="23"/>
      <c r="BA31" s="23"/>
      <c r="BB31" s="9"/>
    </row>
    <row r="32" spans="1:54" ht="54" x14ac:dyDescent="0.3">
      <c r="A32" s="8" t="s">
        <v>65</v>
      </c>
      <c r="B32" s="9" t="s">
        <v>66</v>
      </c>
      <c r="C32" s="22" t="s">
        <v>1618</v>
      </c>
      <c r="D32" s="9">
        <v>20260715</v>
      </c>
      <c r="E32" s="22">
        <v>98000</v>
      </c>
      <c r="F32" s="22">
        <v>9800</v>
      </c>
      <c r="G32" s="9">
        <v>107800</v>
      </c>
      <c r="H32" s="22" t="s">
        <v>87</v>
      </c>
      <c r="I32" s="8"/>
      <c r="J32" s="22" t="s">
        <v>404</v>
      </c>
      <c r="K32" s="22" t="s">
        <v>405</v>
      </c>
      <c r="L32" s="22" t="s">
        <v>406</v>
      </c>
      <c r="M32" s="22" t="s">
        <v>407</v>
      </c>
      <c r="N32" s="22" t="s">
        <v>408</v>
      </c>
      <c r="O32" s="22" t="s">
        <v>409</v>
      </c>
      <c r="P32" s="22" t="s">
        <v>411</v>
      </c>
      <c r="Q32" s="22" t="s">
        <v>410</v>
      </c>
      <c r="R32" s="22" t="s">
        <v>410</v>
      </c>
      <c r="S32" s="9"/>
      <c r="T32" s="9"/>
      <c r="U32" s="9"/>
      <c r="V32" s="9"/>
      <c r="W32" s="9" t="str">
        <f t="shared" si="0"/>
        <v>20260715</v>
      </c>
      <c r="X32" s="22" t="s">
        <v>1634</v>
      </c>
      <c r="Y32" s="23"/>
      <c r="Z32" s="22">
        <v>1</v>
      </c>
      <c r="AA32" s="22">
        <v>98000</v>
      </c>
      <c r="AB32" s="22">
        <v>98000</v>
      </c>
      <c r="AC32" s="22">
        <v>9800</v>
      </c>
      <c r="AD32" s="9"/>
      <c r="AE32" s="9" t="str">
        <f t="shared" si="1"/>
        <v/>
      </c>
      <c r="AF32" s="23"/>
      <c r="AG32" s="23"/>
      <c r="AH32" s="23"/>
      <c r="AI32" s="23"/>
      <c r="AJ32" s="23"/>
      <c r="AK32" s="23"/>
      <c r="AL32" s="9"/>
      <c r="AM32" s="9" t="str">
        <f t="shared" si="2"/>
        <v/>
      </c>
      <c r="AN32" s="23"/>
      <c r="AO32" s="23"/>
      <c r="AP32" s="23"/>
      <c r="AQ32" s="23"/>
      <c r="AR32" s="23"/>
      <c r="AS32" s="23"/>
      <c r="AT32" s="9"/>
      <c r="AU32" s="9" t="str">
        <f t="shared" si="3"/>
        <v/>
      </c>
      <c r="AV32" s="23"/>
      <c r="AW32" s="23"/>
      <c r="AX32" s="23"/>
      <c r="AY32" s="23"/>
      <c r="AZ32" s="23"/>
      <c r="BA32" s="23"/>
      <c r="BB32" s="9"/>
    </row>
    <row r="33" spans="1:54" ht="40.5" x14ac:dyDescent="0.3">
      <c r="A33" s="8" t="s">
        <v>65</v>
      </c>
      <c r="B33" s="9" t="s">
        <v>66</v>
      </c>
      <c r="C33" s="22" t="s">
        <v>1618</v>
      </c>
      <c r="D33" s="9">
        <v>20260715</v>
      </c>
      <c r="E33" s="22">
        <v>30000</v>
      </c>
      <c r="F33" s="22">
        <v>3000</v>
      </c>
      <c r="G33" s="9">
        <v>33000</v>
      </c>
      <c r="H33" s="22" t="s">
        <v>96</v>
      </c>
      <c r="I33" s="8"/>
      <c r="J33" s="22" t="s">
        <v>472</v>
      </c>
      <c r="K33" s="22" t="s">
        <v>473</v>
      </c>
      <c r="L33" s="22" t="s">
        <v>296</v>
      </c>
      <c r="M33" s="22" t="s">
        <v>297</v>
      </c>
      <c r="N33" s="22" t="s">
        <v>474</v>
      </c>
      <c r="O33" s="22" t="s">
        <v>299</v>
      </c>
      <c r="P33" s="22" t="s">
        <v>301</v>
      </c>
      <c r="Q33" s="22" t="s">
        <v>475</v>
      </c>
      <c r="R33" s="22" t="s">
        <v>292</v>
      </c>
      <c r="S33" s="9"/>
      <c r="T33" s="9"/>
      <c r="U33" s="9"/>
      <c r="V33" s="9"/>
      <c r="W33" s="9" t="str">
        <f t="shared" si="0"/>
        <v>20260715</v>
      </c>
      <c r="X33" s="22" t="s">
        <v>1624</v>
      </c>
      <c r="Y33" s="23"/>
      <c r="Z33" s="22">
        <v>1</v>
      </c>
      <c r="AA33" s="22">
        <v>30000</v>
      </c>
      <c r="AB33" s="22">
        <v>30000</v>
      </c>
      <c r="AC33" s="22">
        <v>3000</v>
      </c>
      <c r="AD33" s="9"/>
      <c r="AE33" s="9" t="str">
        <f t="shared" si="1"/>
        <v/>
      </c>
      <c r="AF33" s="23"/>
      <c r="AG33" s="23"/>
      <c r="AH33" s="23"/>
      <c r="AI33" s="23"/>
      <c r="AJ33" s="23"/>
      <c r="AK33" s="23"/>
      <c r="AL33" s="9"/>
      <c r="AM33" s="9" t="str">
        <f t="shared" si="2"/>
        <v/>
      </c>
      <c r="AN33" s="23"/>
      <c r="AO33" s="23"/>
      <c r="AP33" s="23"/>
      <c r="AQ33" s="23"/>
      <c r="AR33" s="23"/>
      <c r="AS33" s="23"/>
      <c r="AT33" s="9"/>
      <c r="AU33" s="9" t="str">
        <f t="shared" si="3"/>
        <v/>
      </c>
      <c r="AV33" s="23"/>
      <c r="AW33" s="23"/>
      <c r="AX33" s="23"/>
      <c r="AY33" s="23"/>
      <c r="AZ33" s="23"/>
      <c r="BA33" s="23"/>
      <c r="BB33" s="9"/>
    </row>
    <row r="34" spans="1:54" ht="54" x14ac:dyDescent="0.3">
      <c r="A34" s="8" t="s">
        <v>65</v>
      </c>
      <c r="B34" s="9" t="s">
        <v>66</v>
      </c>
      <c r="C34" s="22" t="s">
        <v>1618</v>
      </c>
      <c r="D34" s="9">
        <v>20260715</v>
      </c>
      <c r="E34" s="22">
        <v>350000</v>
      </c>
      <c r="F34" s="22">
        <v>35000</v>
      </c>
      <c r="G34" s="9">
        <v>385000</v>
      </c>
      <c r="H34" s="22" t="s">
        <v>97</v>
      </c>
      <c r="I34" s="8"/>
      <c r="J34" s="22" t="s">
        <v>476</v>
      </c>
      <c r="K34" s="22" t="s">
        <v>477</v>
      </c>
      <c r="L34" s="22" t="s">
        <v>478</v>
      </c>
      <c r="M34" s="22" t="s">
        <v>479</v>
      </c>
      <c r="N34" s="22" t="s">
        <v>480</v>
      </c>
      <c r="O34" s="22" t="s">
        <v>481</v>
      </c>
      <c r="P34" s="22" t="s">
        <v>483</v>
      </c>
      <c r="Q34" s="22" t="s">
        <v>482</v>
      </c>
      <c r="R34" s="22" t="s">
        <v>292</v>
      </c>
      <c r="S34" s="9"/>
      <c r="T34" s="9"/>
      <c r="U34" s="9"/>
      <c r="V34" s="9"/>
      <c r="W34" s="9" t="str">
        <f t="shared" si="0"/>
        <v>20260715</v>
      </c>
      <c r="X34" s="22" t="s">
        <v>1633</v>
      </c>
      <c r="Y34" s="23"/>
      <c r="Z34" s="22">
        <v>1</v>
      </c>
      <c r="AA34" s="22">
        <v>350000</v>
      </c>
      <c r="AB34" s="22">
        <v>350000</v>
      </c>
      <c r="AC34" s="22">
        <v>35000</v>
      </c>
      <c r="AD34" s="9"/>
      <c r="AE34" s="9" t="str">
        <f t="shared" si="1"/>
        <v/>
      </c>
      <c r="AF34" s="23"/>
      <c r="AG34" s="23"/>
      <c r="AH34" s="23"/>
      <c r="AI34" s="23"/>
      <c r="AJ34" s="23"/>
      <c r="AK34" s="23"/>
      <c r="AL34" s="9"/>
      <c r="AM34" s="9" t="str">
        <f t="shared" si="2"/>
        <v/>
      </c>
      <c r="AN34" s="23"/>
      <c r="AO34" s="23"/>
      <c r="AP34" s="23"/>
      <c r="AQ34" s="23"/>
      <c r="AR34" s="23"/>
      <c r="AS34" s="23"/>
      <c r="AT34" s="9"/>
      <c r="AU34" s="9" t="str">
        <f t="shared" si="3"/>
        <v/>
      </c>
      <c r="AV34" s="23"/>
      <c r="AW34" s="23"/>
      <c r="AX34" s="23"/>
      <c r="AY34" s="23"/>
      <c r="AZ34" s="23"/>
      <c r="BA34" s="23"/>
      <c r="BB34" s="9"/>
    </row>
    <row r="35" spans="1:54" ht="54" x14ac:dyDescent="0.3">
      <c r="A35" s="8" t="s">
        <v>65</v>
      </c>
      <c r="B35" s="9" t="s">
        <v>66</v>
      </c>
      <c r="C35" s="22" t="s">
        <v>1618</v>
      </c>
      <c r="D35" s="9">
        <v>20260715</v>
      </c>
      <c r="E35" s="22">
        <v>550000</v>
      </c>
      <c r="F35" s="22">
        <v>55000</v>
      </c>
      <c r="G35" s="9">
        <v>605000</v>
      </c>
      <c r="H35" s="22" t="s">
        <v>98</v>
      </c>
      <c r="I35" s="8"/>
      <c r="J35" s="22" t="s">
        <v>484</v>
      </c>
      <c r="K35" s="22" t="s">
        <v>485</v>
      </c>
      <c r="L35" s="22" t="s">
        <v>486</v>
      </c>
      <c r="M35" s="22" t="s">
        <v>312</v>
      </c>
      <c r="N35" s="22" t="s">
        <v>487</v>
      </c>
      <c r="O35" s="22" t="s">
        <v>488</v>
      </c>
      <c r="P35" s="22" t="s">
        <v>491</v>
      </c>
      <c r="Q35" s="22" t="s">
        <v>489</v>
      </c>
      <c r="R35" s="22" t="s">
        <v>490</v>
      </c>
      <c r="S35" s="9"/>
      <c r="T35" s="9"/>
      <c r="U35" s="9"/>
      <c r="V35" s="9"/>
      <c r="W35" s="9" t="str">
        <f t="shared" si="0"/>
        <v>20260715</v>
      </c>
      <c r="X35" s="22" t="s">
        <v>1636</v>
      </c>
      <c r="Y35" s="23"/>
      <c r="Z35" s="22">
        <v>1</v>
      </c>
      <c r="AA35" s="22">
        <v>550000</v>
      </c>
      <c r="AB35" s="22">
        <v>550000</v>
      </c>
      <c r="AC35" s="22">
        <v>55000</v>
      </c>
      <c r="AD35" s="9"/>
      <c r="AE35" s="9" t="str">
        <f t="shared" si="1"/>
        <v/>
      </c>
      <c r="AF35" s="23"/>
      <c r="AG35" s="23"/>
      <c r="AH35" s="23"/>
      <c r="AI35" s="23"/>
      <c r="AJ35" s="23"/>
      <c r="AK35" s="23"/>
      <c r="AL35" s="9"/>
      <c r="AM35" s="9" t="str">
        <f t="shared" si="2"/>
        <v/>
      </c>
      <c r="AN35" s="23"/>
      <c r="AO35" s="23"/>
      <c r="AP35" s="23"/>
      <c r="AQ35" s="23"/>
      <c r="AR35" s="23"/>
      <c r="AS35" s="23"/>
      <c r="AT35" s="9"/>
      <c r="AU35" s="9" t="str">
        <f t="shared" si="3"/>
        <v/>
      </c>
      <c r="AV35" s="23"/>
      <c r="AW35" s="23"/>
      <c r="AX35" s="23"/>
      <c r="AY35" s="23"/>
      <c r="AZ35" s="23"/>
      <c r="BA35" s="23"/>
      <c r="BB35" s="9"/>
    </row>
    <row r="36" spans="1:54" ht="54" x14ac:dyDescent="0.3">
      <c r="A36" s="8" t="s">
        <v>65</v>
      </c>
      <c r="B36" s="9" t="s">
        <v>66</v>
      </c>
      <c r="C36" s="22" t="s">
        <v>67</v>
      </c>
      <c r="D36" s="9">
        <v>20260715</v>
      </c>
      <c r="E36" s="22">
        <v>30000</v>
      </c>
      <c r="F36" s="22">
        <v>3000</v>
      </c>
      <c r="G36" s="9">
        <v>33000</v>
      </c>
      <c r="H36" s="22" t="s">
        <v>99</v>
      </c>
      <c r="I36" s="8"/>
      <c r="J36" s="22" t="s">
        <v>492</v>
      </c>
      <c r="K36" s="22" t="s">
        <v>493</v>
      </c>
      <c r="L36" s="22" t="s">
        <v>494</v>
      </c>
      <c r="M36" s="22" t="s">
        <v>297</v>
      </c>
      <c r="N36" s="22" t="s">
        <v>495</v>
      </c>
      <c r="O36" s="22" t="s">
        <v>496</v>
      </c>
      <c r="P36" s="22" t="s">
        <v>498</v>
      </c>
      <c r="Q36" s="22" t="s">
        <v>497</v>
      </c>
      <c r="R36" s="22" t="s">
        <v>292</v>
      </c>
      <c r="S36" s="9"/>
      <c r="T36" s="9"/>
      <c r="U36" s="9"/>
      <c r="V36" s="9"/>
      <c r="W36" s="9" t="str">
        <f t="shared" si="0"/>
        <v>20260715</v>
      </c>
      <c r="X36" s="22" t="s">
        <v>1624</v>
      </c>
      <c r="Y36" s="23"/>
      <c r="Z36" s="22">
        <v>1</v>
      </c>
      <c r="AA36" s="22">
        <v>30000</v>
      </c>
      <c r="AB36" s="22">
        <v>30000</v>
      </c>
      <c r="AC36" s="22">
        <v>3000</v>
      </c>
      <c r="AD36" s="9"/>
      <c r="AE36" s="9" t="str">
        <f t="shared" si="1"/>
        <v/>
      </c>
      <c r="AF36" s="23"/>
      <c r="AG36" s="23"/>
      <c r="AH36" s="23"/>
      <c r="AI36" s="23"/>
      <c r="AJ36" s="23"/>
      <c r="AK36" s="23"/>
      <c r="AL36" s="9"/>
      <c r="AM36" s="9" t="str">
        <f t="shared" si="2"/>
        <v/>
      </c>
      <c r="AN36" s="23"/>
      <c r="AO36" s="23"/>
      <c r="AP36" s="23"/>
      <c r="AQ36" s="23"/>
      <c r="AR36" s="23"/>
      <c r="AS36" s="23"/>
      <c r="AT36" s="9"/>
      <c r="AU36" s="9" t="str">
        <f t="shared" si="3"/>
        <v/>
      </c>
      <c r="AV36" s="23"/>
      <c r="AW36" s="23"/>
      <c r="AX36" s="23"/>
      <c r="AY36" s="23"/>
      <c r="AZ36" s="23"/>
      <c r="BA36" s="23"/>
      <c r="BB36" s="9"/>
    </row>
    <row r="37" spans="1:54" ht="67.5" x14ac:dyDescent="0.3">
      <c r="A37" s="8" t="s">
        <v>65</v>
      </c>
      <c r="B37" s="9" t="s">
        <v>66</v>
      </c>
      <c r="C37" s="22" t="s">
        <v>1618</v>
      </c>
      <c r="D37" s="9">
        <v>20260715</v>
      </c>
      <c r="E37" s="22">
        <v>155000</v>
      </c>
      <c r="F37" s="22">
        <v>15500</v>
      </c>
      <c r="G37" s="9">
        <v>170500</v>
      </c>
      <c r="H37" s="22" t="s">
        <v>100</v>
      </c>
      <c r="I37" s="8"/>
      <c r="J37" s="22" t="s">
        <v>499</v>
      </c>
      <c r="K37" s="22" t="s">
        <v>500</v>
      </c>
      <c r="L37" s="22" t="s">
        <v>501</v>
      </c>
      <c r="M37" s="22" t="s">
        <v>273</v>
      </c>
      <c r="N37" s="22" t="s">
        <v>502</v>
      </c>
      <c r="O37" s="22" t="s">
        <v>503</v>
      </c>
      <c r="P37" s="22" t="s">
        <v>506</v>
      </c>
      <c r="Q37" s="22" t="s">
        <v>504</v>
      </c>
      <c r="R37" s="22" t="s">
        <v>505</v>
      </c>
      <c r="S37" s="9"/>
      <c r="T37" s="9"/>
      <c r="U37" s="9"/>
      <c r="V37" s="9"/>
      <c r="W37" s="9" t="str">
        <f t="shared" si="0"/>
        <v>20260715</v>
      </c>
      <c r="X37" s="22" t="s">
        <v>1641</v>
      </c>
      <c r="Y37" s="23"/>
      <c r="Z37" s="22">
        <v>1</v>
      </c>
      <c r="AA37" s="22">
        <v>25000</v>
      </c>
      <c r="AB37" s="22">
        <v>25000</v>
      </c>
      <c r="AC37" s="22">
        <v>2500</v>
      </c>
      <c r="AD37" s="9"/>
      <c r="AE37" s="9" t="str">
        <f t="shared" si="1"/>
        <v>20260715</v>
      </c>
      <c r="AF37" s="22" t="s">
        <v>1687</v>
      </c>
      <c r="AG37" s="23"/>
      <c r="AH37" s="22">
        <v>1</v>
      </c>
      <c r="AI37" s="22">
        <v>130000</v>
      </c>
      <c r="AJ37" s="22">
        <v>130000</v>
      </c>
      <c r="AK37" s="22">
        <v>13000</v>
      </c>
      <c r="AL37" s="9"/>
      <c r="AM37" s="9" t="str">
        <f t="shared" si="2"/>
        <v/>
      </c>
      <c r="AN37" s="23"/>
      <c r="AO37" s="23"/>
      <c r="AP37" s="23"/>
      <c r="AQ37" s="23"/>
      <c r="AR37" s="23"/>
      <c r="AS37" s="23"/>
      <c r="AT37" s="9"/>
      <c r="AU37" s="9" t="str">
        <f t="shared" si="3"/>
        <v/>
      </c>
      <c r="AV37" s="23"/>
      <c r="AW37" s="23"/>
      <c r="AX37" s="23"/>
      <c r="AY37" s="23"/>
      <c r="AZ37" s="23"/>
      <c r="BA37" s="23"/>
      <c r="BB37" s="9"/>
    </row>
    <row r="38" spans="1:54" ht="81" x14ac:dyDescent="0.3">
      <c r="A38" s="8" t="s">
        <v>65</v>
      </c>
      <c r="B38" s="9" t="s">
        <v>66</v>
      </c>
      <c r="C38" s="22" t="s">
        <v>1618</v>
      </c>
      <c r="D38" s="9">
        <v>20260715</v>
      </c>
      <c r="E38" s="22">
        <v>100000</v>
      </c>
      <c r="F38" s="22">
        <v>10000</v>
      </c>
      <c r="G38" s="9">
        <v>110000</v>
      </c>
      <c r="H38" s="22" t="s">
        <v>101</v>
      </c>
      <c r="I38" s="8"/>
      <c r="J38" s="22" t="s">
        <v>507</v>
      </c>
      <c r="K38" s="22" t="s">
        <v>508</v>
      </c>
      <c r="L38" s="22" t="s">
        <v>509</v>
      </c>
      <c r="M38" s="22" t="s">
        <v>510</v>
      </c>
      <c r="N38" s="22" t="s">
        <v>511</v>
      </c>
      <c r="O38" s="22" t="s">
        <v>512</v>
      </c>
      <c r="P38" s="22" t="s">
        <v>514</v>
      </c>
      <c r="Q38" s="22" t="s">
        <v>513</v>
      </c>
      <c r="R38" s="22" t="s">
        <v>513</v>
      </c>
      <c r="S38" s="9"/>
      <c r="T38" s="9"/>
      <c r="U38" s="9"/>
      <c r="V38" s="9"/>
      <c r="W38" s="9" t="str">
        <f t="shared" si="0"/>
        <v>20260715</v>
      </c>
      <c r="X38" s="22" t="s">
        <v>1642</v>
      </c>
      <c r="Y38" s="23"/>
      <c r="Z38" s="22">
        <v>1</v>
      </c>
      <c r="AA38" s="22">
        <v>50000</v>
      </c>
      <c r="AB38" s="22">
        <v>50000</v>
      </c>
      <c r="AC38" s="22">
        <v>5000</v>
      </c>
      <c r="AD38" s="9"/>
      <c r="AE38" s="9" t="str">
        <f t="shared" si="1"/>
        <v>20260715</v>
      </c>
      <c r="AF38" s="22" t="s">
        <v>1654</v>
      </c>
      <c r="AG38" s="23"/>
      <c r="AH38" s="22">
        <v>1</v>
      </c>
      <c r="AI38" s="22">
        <v>50000</v>
      </c>
      <c r="AJ38" s="22">
        <v>50000</v>
      </c>
      <c r="AK38" s="22">
        <v>5000</v>
      </c>
      <c r="AL38" s="9"/>
      <c r="AM38" s="9" t="str">
        <f t="shared" si="2"/>
        <v/>
      </c>
      <c r="AN38" s="23"/>
      <c r="AO38" s="23"/>
      <c r="AP38" s="23"/>
      <c r="AQ38" s="23"/>
      <c r="AR38" s="23"/>
      <c r="AS38" s="23"/>
      <c r="AT38" s="9"/>
      <c r="AU38" s="9" t="str">
        <f t="shared" si="3"/>
        <v/>
      </c>
      <c r="AV38" s="23"/>
      <c r="AW38" s="23"/>
      <c r="AX38" s="23"/>
      <c r="AY38" s="23"/>
      <c r="AZ38" s="23"/>
      <c r="BA38" s="23"/>
      <c r="BB38" s="9"/>
    </row>
    <row r="39" spans="1:54" ht="67.5" x14ac:dyDescent="0.3">
      <c r="A39" s="8" t="s">
        <v>65</v>
      </c>
      <c r="B39" s="9" t="s">
        <v>66</v>
      </c>
      <c r="C39" s="22" t="s">
        <v>1618</v>
      </c>
      <c r="D39" s="9">
        <v>20260715</v>
      </c>
      <c r="E39" s="22">
        <v>346200</v>
      </c>
      <c r="F39" s="22">
        <v>34620</v>
      </c>
      <c r="G39" s="9">
        <v>380820</v>
      </c>
      <c r="H39" s="22" t="s">
        <v>102</v>
      </c>
      <c r="I39" s="8"/>
      <c r="J39" s="22" t="s">
        <v>515</v>
      </c>
      <c r="K39" s="22" t="s">
        <v>516</v>
      </c>
      <c r="L39" s="22" t="s">
        <v>517</v>
      </c>
      <c r="M39" s="22" t="s">
        <v>518</v>
      </c>
      <c r="N39" s="22" t="s">
        <v>519</v>
      </c>
      <c r="O39" s="22" t="s">
        <v>520</v>
      </c>
      <c r="P39" s="22" t="s">
        <v>523</v>
      </c>
      <c r="Q39" s="22" t="s">
        <v>521</v>
      </c>
      <c r="R39" s="22" t="s">
        <v>522</v>
      </c>
      <c r="S39" s="9"/>
      <c r="T39" s="9"/>
      <c r="U39" s="9"/>
      <c r="V39" s="9"/>
      <c r="W39" s="9" t="str">
        <f t="shared" si="0"/>
        <v>20260715</v>
      </c>
      <c r="X39" s="22" t="s">
        <v>1621</v>
      </c>
      <c r="Y39" s="23"/>
      <c r="Z39" s="22">
        <v>1</v>
      </c>
      <c r="AA39" s="22">
        <v>274350</v>
      </c>
      <c r="AB39" s="22">
        <v>274350</v>
      </c>
      <c r="AC39" s="22">
        <v>27435</v>
      </c>
      <c r="AD39" s="9"/>
      <c r="AE39" s="9" t="str">
        <f t="shared" si="1"/>
        <v>20260715</v>
      </c>
      <c r="AF39" s="22" t="s">
        <v>1655</v>
      </c>
      <c r="AG39" s="23"/>
      <c r="AH39" s="22">
        <v>1</v>
      </c>
      <c r="AI39" s="22">
        <v>30000</v>
      </c>
      <c r="AJ39" s="22">
        <v>30000</v>
      </c>
      <c r="AK39" s="22">
        <v>3000</v>
      </c>
      <c r="AL39" s="9"/>
      <c r="AM39" s="9" t="str">
        <f t="shared" si="2"/>
        <v>20260715</v>
      </c>
      <c r="AN39" s="22" t="s">
        <v>1626</v>
      </c>
      <c r="AO39" s="23"/>
      <c r="AP39" s="22">
        <v>1</v>
      </c>
      <c r="AQ39" s="22">
        <v>41850</v>
      </c>
      <c r="AR39" s="22">
        <v>41850</v>
      </c>
      <c r="AS39" s="22">
        <v>4185</v>
      </c>
      <c r="AT39" s="9"/>
      <c r="AU39" s="9" t="str">
        <f t="shared" si="3"/>
        <v/>
      </c>
      <c r="AV39" s="23"/>
      <c r="AW39" s="23"/>
      <c r="AX39" s="23"/>
      <c r="AY39" s="23"/>
      <c r="AZ39" s="23"/>
      <c r="BA39" s="23"/>
      <c r="BB39" s="9"/>
    </row>
    <row r="40" spans="1:54" ht="40.5" x14ac:dyDescent="0.3">
      <c r="A40" s="8" t="s">
        <v>65</v>
      </c>
      <c r="B40" s="9" t="s">
        <v>66</v>
      </c>
      <c r="C40" s="22" t="s">
        <v>1618</v>
      </c>
      <c r="D40" s="9">
        <v>20260715</v>
      </c>
      <c r="E40" s="22">
        <v>310000</v>
      </c>
      <c r="F40" s="22">
        <v>31000</v>
      </c>
      <c r="G40" s="9">
        <v>341000</v>
      </c>
      <c r="H40" s="22" t="s">
        <v>103</v>
      </c>
      <c r="I40" s="8"/>
      <c r="J40" s="22" t="s">
        <v>524</v>
      </c>
      <c r="K40" s="22" t="s">
        <v>525</v>
      </c>
      <c r="L40" s="22" t="s">
        <v>526</v>
      </c>
      <c r="M40" s="22" t="s">
        <v>273</v>
      </c>
      <c r="N40" s="22" t="s">
        <v>527</v>
      </c>
      <c r="O40" s="22" t="s">
        <v>528</v>
      </c>
      <c r="P40" s="22" t="s">
        <v>531</v>
      </c>
      <c r="Q40" s="22" t="s">
        <v>529</v>
      </c>
      <c r="R40" s="22" t="s">
        <v>530</v>
      </c>
      <c r="S40" s="9"/>
      <c r="T40" s="9"/>
      <c r="U40" s="9"/>
      <c r="V40" s="9"/>
      <c r="W40" s="9" t="str">
        <f t="shared" si="0"/>
        <v>20260715</v>
      </c>
      <c r="X40" s="22" t="s">
        <v>1625</v>
      </c>
      <c r="Y40" s="23"/>
      <c r="Z40" s="22">
        <v>1</v>
      </c>
      <c r="AA40" s="22">
        <v>310000</v>
      </c>
      <c r="AB40" s="22">
        <v>310000</v>
      </c>
      <c r="AC40" s="22">
        <v>31000</v>
      </c>
      <c r="AD40" s="9"/>
      <c r="AE40" s="9" t="str">
        <f t="shared" si="1"/>
        <v/>
      </c>
      <c r="AF40" s="23"/>
      <c r="AG40" s="23"/>
      <c r="AH40" s="23"/>
      <c r="AI40" s="23"/>
      <c r="AJ40" s="23"/>
      <c r="AK40" s="23"/>
      <c r="AL40" s="9"/>
      <c r="AM40" s="9" t="str">
        <f t="shared" si="2"/>
        <v/>
      </c>
      <c r="AN40" s="23"/>
      <c r="AO40" s="23"/>
      <c r="AP40" s="23"/>
      <c r="AQ40" s="23"/>
      <c r="AR40" s="23"/>
      <c r="AS40" s="23"/>
      <c r="AT40" s="9"/>
      <c r="AU40" s="9" t="str">
        <f t="shared" si="3"/>
        <v/>
      </c>
      <c r="AV40" s="23"/>
      <c r="AW40" s="23"/>
      <c r="AX40" s="23"/>
      <c r="AY40" s="23"/>
      <c r="AZ40" s="23"/>
      <c r="BA40" s="23"/>
      <c r="BB40" s="9"/>
    </row>
    <row r="41" spans="1:54" ht="54" x14ac:dyDescent="0.3">
      <c r="A41" s="8" t="s">
        <v>65</v>
      </c>
      <c r="B41" s="9" t="s">
        <v>66</v>
      </c>
      <c r="C41" s="22" t="s">
        <v>1618</v>
      </c>
      <c r="D41" s="9">
        <v>20260715</v>
      </c>
      <c r="E41" s="22">
        <v>150000</v>
      </c>
      <c r="F41" s="22">
        <v>15000</v>
      </c>
      <c r="G41" s="9">
        <v>165000</v>
      </c>
      <c r="H41" s="22" t="s">
        <v>104</v>
      </c>
      <c r="I41" s="8"/>
      <c r="J41" s="22" t="s">
        <v>532</v>
      </c>
      <c r="K41" s="22" t="s">
        <v>533</v>
      </c>
      <c r="L41" s="22" t="s">
        <v>534</v>
      </c>
      <c r="M41" s="22" t="s">
        <v>535</v>
      </c>
      <c r="N41" s="22" t="s">
        <v>536</v>
      </c>
      <c r="O41" s="22" t="s">
        <v>291</v>
      </c>
      <c r="P41" s="22" t="s">
        <v>538</v>
      </c>
      <c r="Q41" s="22" t="s">
        <v>537</v>
      </c>
      <c r="R41" s="22" t="s">
        <v>292</v>
      </c>
      <c r="S41" s="9"/>
      <c r="T41" s="9"/>
      <c r="U41" s="9"/>
      <c r="V41" s="9"/>
      <c r="W41" s="9" t="str">
        <f t="shared" si="0"/>
        <v>20260715</v>
      </c>
      <c r="X41" s="22" t="s">
        <v>1621</v>
      </c>
      <c r="Y41" s="23"/>
      <c r="Z41" s="22">
        <v>1</v>
      </c>
      <c r="AA41" s="22">
        <v>150000</v>
      </c>
      <c r="AB41" s="22">
        <v>150000</v>
      </c>
      <c r="AC41" s="22">
        <v>15000</v>
      </c>
      <c r="AD41" s="9"/>
      <c r="AE41" s="9" t="str">
        <f t="shared" si="1"/>
        <v/>
      </c>
      <c r="AF41" s="23"/>
      <c r="AG41" s="23"/>
      <c r="AH41" s="23"/>
      <c r="AI41" s="23"/>
      <c r="AJ41" s="23"/>
      <c r="AK41" s="23"/>
      <c r="AL41" s="9"/>
      <c r="AM41" s="9" t="str">
        <f t="shared" si="2"/>
        <v/>
      </c>
      <c r="AN41" s="23"/>
      <c r="AO41" s="23"/>
      <c r="AP41" s="23"/>
      <c r="AQ41" s="23"/>
      <c r="AR41" s="23"/>
      <c r="AS41" s="23"/>
      <c r="AT41" s="9"/>
      <c r="AU41" s="9" t="str">
        <f t="shared" si="3"/>
        <v/>
      </c>
      <c r="AV41" s="23"/>
      <c r="AW41" s="23"/>
      <c r="AX41" s="23"/>
      <c r="AY41" s="23"/>
      <c r="AZ41" s="23"/>
      <c r="BA41" s="23"/>
      <c r="BB41" s="9"/>
    </row>
    <row r="42" spans="1:54" ht="67.5" x14ac:dyDescent="0.3">
      <c r="A42" s="8" t="s">
        <v>65</v>
      </c>
      <c r="B42" s="9" t="s">
        <v>66</v>
      </c>
      <c r="C42" s="22" t="s">
        <v>1618</v>
      </c>
      <c r="D42" s="9">
        <v>20260715</v>
      </c>
      <c r="E42" s="22">
        <v>90000</v>
      </c>
      <c r="F42" s="22">
        <v>9000</v>
      </c>
      <c r="G42" s="9">
        <v>99000</v>
      </c>
      <c r="H42" s="22" t="s">
        <v>105</v>
      </c>
      <c r="I42" s="8"/>
      <c r="J42" s="22" t="s">
        <v>539</v>
      </c>
      <c r="K42" s="22" t="s">
        <v>540</v>
      </c>
      <c r="L42" s="22" t="s">
        <v>541</v>
      </c>
      <c r="M42" s="22" t="s">
        <v>542</v>
      </c>
      <c r="N42" s="22" t="s">
        <v>543</v>
      </c>
      <c r="O42" s="22" t="s">
        <v>540</v>
      </c>
      <c r="P42" s="22" t="s">
        <v>546</v>
      </c>
      <c r="Q42" s="22" t="s">
        <v>544</v>
      </c>
      <c r="R42" s="22" t="s">
        <v>545</v>
      </c>
      <c r="S42" s="9"/>
      <c r="T42" s="9"/>
      <c r="U42" s="9"/>
      <c r="V42" s="9"/>
      <c r="W42" s="9" t="str">
        <f t="shared" si="0"/>
        <v>20260715</v>
      </c>
      <c r="X42" s="22" t="s">
        <v>1643</v>
      </c>
      <c r="Y42" s="23"/>
      <c r="Z42" s="22">
        <v>1</v>
      </c>
      <c r="AA42" s="22">
        <v>90000</v>
      </c>
      <c r="AB42" s="22">
        <v>90000</v>
      </c>
      <c r="AC42" s="22">
        <v>9000</v>
      </c>
      <c r="AD42" s="9"/>
      <c r="AE42" s="9" t="str">
        <f t="shared" si="1"/>
        <v/>
      </c>
      <c r="AF42" s="23"/>
      <c r="AG42" s="23"/>
      <c r="AH42" s="23"/>
      <c r="AI42" s="23"/>
      <c r="AJ42" s="23"/>
      <c r="AK42" s="23"/>
      <c r="AL42" s="9"/>
      <c r="AM42" s="9" t="str">
        <f t="shared" si="2"/>
        <v/>
      </c>
      <c r="AN42" s="23"/>
      <c r="AO42" s="23"/>
      <c r="AP42" s="23"/>
      <c r="AQ42" s="23"/>
      <c r="AR42" s="23"/>
      <c r="AS42" s="23"/>
      <c r="AT42" s="9"/>
      <c r="AU42" s="9" t="str">
        <f t="shared" si="3"/>
        <v/>
      </c>
      <c r="AV42" s="23"/>
      <c r="AW42" s="23"/>
      <c r="AX42" s="23"/>
      <c r="AY42" s="23"/>
      <c r="AZ42" s="23"/>
      <c r="BA42" s="23"/>
      <c r="BB42" s="9"/>
    </row>
    <row r="43" spans="1:54" ht="81" x14ac:dyDescent="0.3">
      <c r="A43" s="8" t="s">
        <v>65</v>
      </c>
      <c r="B43" s="9" t="s">
        <v>66</v>
      </c>
      <c r="C43" s="22" t="s">
        <v>1618</v>
      </c>
      <c r="D43" s="9">
        <v>20260715</v>
      </c>
      <c r="E43" s="22">
        <v>970250</v>
      </c>
      <c r="F43" s="22">
        <v>97025</v>
      </c>
      <c r="G43" s="9">
        <v>1067275</v>
      </c>
      <c r="H43" s="22" t="s">
        <v>106</v>
      </c>
      <c r="I43" s="8"/>
      <c r="J43" s="22" t="s">
        <v>547</v>
      </c>
      <c r="K43" s="22" t="s">
        <v>548</v>
      </c>
      <c r="L43" s="22" t="s">
        <v>549</v>
      </c>
      <c r="M43" s="22" t="s">
        <v>550</v>
      </c>
      <c r="N43" s="22" t="s">
        <v>551</v>
      </c>
      <c r="O43" s="22" t="s">
        <v>548</v>
      </c>
      <c r="P43" s="22" t="s">
        <v>553</v>
      </c>
      <c r="Q43" s="22" t="s">
        <v>259</v>
      </c>
      <c r="R43" s="22" t="s">
        <v>552</v>
      </c>
      <c r="S43" s="9"/>
      <c r="T43" s="9"/>
      <c r="U43" s="9"/>
      <c r="V43" s="9"/>
      <c r="W43" s="9" t="str">
        <f t="shared" si="0"/>
        <v>20260715</v>
      </c>
      <c r="X43" s="22" t="s">
        <v>1644</v>
      </c>
      <c r="Y43" s="23"/>
      <c r="Z43" s="22">
        <v>1</v>
      </c>
      <c r="AA43" s="22">
        <v>540000</v>
      </c>
      <c r="AB43" s="22">
        <v>540000</v>
      </c>
      <c r="AC43" s="22">
        <v>54000</v>
      </c>
      <c r="AD43" s="9"/>
      <c r="AE43" s="9" t="str">
        <f t="shared" si="1"/>
        <v>20260715</v>
      </c>
      <c r="AF43" s="22" t="s">
        <v>1688</v>
      </c>
      <c r="AG43" s="23"/>
      <c r="AH43" s="22">
        <v>1</v>
      </c>
      <c r="AI43" s="22">
        <v>320000</v>
      </c>
      <c r="AJ43" s="22">
        <v>320000</v>
      </c>
      <c r="AK43" s="22">
        <v>32000</v>
      </c>
      <c r="AL43" s="9"/>
      <c r="AM43" s="9" t="str">
        <f t="shared" si="2"/>
        <v>20260715</v>
      </c>
      <c r="AN43" s="22" t="s">
        <v>1704</v>
      </c>
      <c r="AO43" s="23"/>
      <c r="AP43" s="22">
        <v>1</v>
      </c>
      <c r="AQ43" s="22">
        <v>80000</v>
      </c>
      <c r="AR43" s="22">
        <v>80000</v>
      </c>
      <c r="AS43" s="22">
        <v>8000</v>
      </c>
      <c r="AT43" s="9"/>
      <c r="AU43" s="9" t="str">
        <f t="shared" si="3"/>
        <v>20260715</v>
      </c>
      <c r="AV43" s="22" t="s">
        <v>1703</v>
      </c>
      <c r="AW43" s="23"/>
      <c r="AX43" s="22">
        <v>1</v>
      </c>
      <c r="AY43" s="22">
        <v>30250</v>
      </c>
      <c r="AZ43" s="22">
        <v>30250</v>
      </c>
      <c r="BA43" s="22">
        <v>3025</v>
      </c>
      <c r="BB43" s="9"/>
    </row>
    <row r="44" spans="1:54" ht="94.5" x14ac:dyDescent="0.3">
      <c r="A44" s="8" t="s">
        <v>65</v>
      </c>
      <c r="B44" s="9" t="s">
        <v>66</v>
      </c>
      <c r="C44" s="22" t="s">
        <v>1618</v>
      </c>
      <c r="D44" s="9">
        <v>20260715</v>
      </c>
      <c r="E44" s="22">
        <v>350000</v>
      </c>
      <c r="F44" s="22">
        <v>35000</v>
      </c>
      <c r="G44" s="9">
        <v>385000</v>
      </c>
      <c r="H44" s="22" t="s">
        <v>107</v>
      </c>
      <c r="I44" s="8"/>
      <c r="J44" s="22" t="s">
        <v>554</v>
      </c>
      <c r="K44" s="22" t="s">
        <v>555</v>
      </c>
      <c r="L44" s="22" t="s">
        <v>556</v>
      </c>
      <c r="M44" s="22" t="s">
        <v>328</v>
      </c>
      <c r="N44" s="22" t="s">
        <v>557</v>
      </c>
      <c r="O44" s="22" t="s">
        <v>558</v>
      </c>
      <c r="P44" s="22" t="s">
        <v>559</v>
      </c>
      <c r="Q44" s="22" t="s">
        <v>292</v>
      </c>
      <c r="R44" s="22" t="s">
        <v>292</v>
      </c>
      <c r="S44" s="9"/>
      <c r="T44" s="9"/>
      <c r="U44" s="9"/>
      <c r="V44" s="9"/>
      <c r="W44" s="9" t="str">
        <f t="shared" si="0"/>
        <v>20260715</v>
      </c>
      <c r="X44" s="22" t="s">
        <v>1624</v>
      </c>
      <c r="Y44" s="23"/>
      <c r="Z44" s="22">
        <v>1</v>
      </c>
      <c r="AA44" s="22">
        <v>350000</v>
      </c>
      <c r="AB44" s="22">
        <v>350000</v>
      </c>
      <c r="AC44" s="22">
        <v>35000</v>
      </c>
      <c r="AD44" s="9"/>
      <c r="AE44" s="9" t="str">
        <f t="shared" si="1"/>
        <v/>
      </c>
      <c r="AF44" s="23"/>
      <c r="AG44" s="23"/>
      <c r="AH44" s="23"/>
      <c r="AI44" s="23"/>
      <c r="AJ44" s="23"/>
      <c r="AK44" s="23"/>
      <c r="AL44" s="9"/>
      <c r="AM44" s="9" t="str">
        <f t="shared" si="2"/>
        <v/>
      </c>
      <c r="AN44" s="23"/>
      <c r="AO44" s="23"/>
      <c r="AP44" s="23"/>
      <c r="AQ44" s="23"/>
      <c r="AR44" s="23"/>
      <c r="AS44" s="23"/>
      <c r="AT44" s="9"/>
      <c r="AU44" s="9" t="str">
        <f t="shared" si="3"/>
        <v/>
      </c>
      <c r="AV44" s="23"/>
      <c r="AW44" s="23"/>
      <c r="AX44" s="23"/>
      <c r="AY44" s="23"/>
      <c r="AZ44" s="23"/>
      <c r="BA44" s="23"/>
      <c r="BB44" s="9"/>
    </row>
    <row r="45" spans="1:54" ht="40.5" x14ac:dyDescent="0.3">
      <c r="A45" s="8" t="s">
        <v>65</v>
      </c>
      <c r="B45" s="9" t="s">
        <v>66</v>
      </c>
      <c r="C45" s="22" t="s">
        <v>1618</v>
      </c>
      <c r="D45" s="9">
        <v>20260715</v>
      </c>
      <c r="E45" s="22">
        <v>140000</v>
      </c>
      <c r="F45" s="22">
        <v>14000</v>
      </c>
      <c r="G45" s="9">
        <v>154000</v>
      </c>
      <c r="H45" s="22" t="s">
        <v>90</v>
      </c>
      <c r="I45" s="8"/>
      <c r="J45" s="22" t="s">
        <v>430</v>
      </c>
      <c r="K45" s="22" t="s">
        <v>431</v>
      </c>
      <c r="L45" s="22" t="s">
        <v>432</v>
      </c>
      <c r="M45" s="22" t="s">
        <v>433</v>
      </c>
      <c r="N45" s="22" t="s">
        <v>434</v>
      </c>
      <c r="O45" s="22" t="s">
        <v>435</v>
      </c>
      <c r="P45" s="22" t="s">
        <v>436</v>
      </c>
      <c r="Q45" s="22" t="s">
        <v>292</v>
      </c>
      <c r="R45" s="22" t="s">
        <v>292</v>
      </c>
      <c r="S45" s="9"/>
      <c r="T45" s="9"/>
      <c r="U45" s="9"/>
      <c r="V45" s="9"/>
      <c r="W45" s="9" t="str">
        <f t="shared" si="0"/>
        <v>20260715</v>
      </c>
      <c r="X45" s="22" t="s">
        <v>1624</v>
      </c>
      <c r="Y45" s="23"/>
      <c r="Z45" s="22">
        <v>1</v>
      </c>
      <c r="AA45" s="22">
        <v>140000</v>
      </c>
      <c r="AB45" s="22">
        <v>140000</v>
      </c>
      <c r="AC45" s="22">
        <v>14000</v>
      </c>
      <c r="AD45" s="9"/>
      <c r="AE45" s="9" t="str">
        <f t="shared" si="1"/>
        <v/>
      </c>
      <c r="AF45" s="23"/>
      <c r="AG45" s="23"/>
      <c r="AH45" s="23"/>
      <c r="AI45" s="23"/>
      <c r="AJ45" s="23"/>
      <c r="AK45" s="23"/>
      <c r="AL45" s="9"/>
      <c r="AM45" s="9" t="str">
        <f t="shared" si="2"/>
        <v/>
      </c>
      <c r="AN45" s="23"/>
      <c r="AO45" s="23"/>
      <c r="AP45" s="23"/>
      <c r="AQ45" s="23"/>
      <c r="AR45" s="23"/>
      <c r="AS45" s="23"/>
      <c r="AT45" s="9"/>
      <c r="AU45" s="9" t="str">
        <f t="shared" si="3"/>
        <v/>
      </c>
      <c r="AV45" s="23"/>
      <c r="AW45" s="23"/>
      <c r="AX45" s="23"/>
      <c r="AY45" s="23"/>
      <c r="AZ45" s="23"/>
      <c r="BA45" s="23"/>
      <c r="BB45" s="9"/>
    </row>
    <row r="46" spans="1:54" ht="81" x14ac:dyDescent="0.3">
      <c r="A46" s="8" t="s">
        <v>65</v>
      </c>
      <c r="B46" s="9" t="s">
        <v>66</v>
      </c>
      <c r="C46" s="22" t="s">
        <v>1618</v>
      </c>
      <c r="D46" s="9">
        <v>20260715</v>
      </c>
      <c r="E46" s="22">
        <v>70000</v>
      </c>
      <c r="F46" s="22">
        <v>7000</v>
      </c>
      <c r="G46" s="9">
        <v>77000</v>
      </c>
      <c r="H46" s="22" t="s">
        <v>108</v>
      </c>
      <c r="I46" s="8"/>
      <c r="J46" s="22" t="s">
        <v>560</v>
      </c>
      <c r="K46" s="22" t="s">
        <v>561</v>
      </c>
      <c r="L46" s="22" t="s">
        <v>562</v>
      </c>
      <c r="M46" s="22" t="s">
        <v>563</v>
      </c>
      <c r="N46" s="22" t="s">
        <v>564</v>
      </c>
      <c r="O46" s="22" t="s">
        <v>291</v>
      </c>
      <c r="P46" s="22" t="s">
        <v>565</v>
      </c>
      <c r="Q46" s="22" t="s">
        <v>292</v>
      </c>
      <c r="R46" s="22" t="s">
        <v>292</v>
      </c>
      <c r="S46" s="9"/>
      <c r="T46" s="9"/>
      <c r="U46" s="9"/>
      <c r="V46" s="9"/>
      <c r="W46" s="9" t="str">
        <f t="shared" si="0"/>
        <v>20260715</v>
      </c>
      <c r="X46" s="22" t="s">
        <v>1631</v>
      </c>
      <c r="Y46" s="23"/>
      <c r="Z46" s="22">
        <v>1</v>
      </c>
      <c r="AA46" s="22">
        <v>70000</v>
      </c>
      <c r="AB46" s="22">
        <v>70000</v>
      </c>
      <c r="AC46" s="22">
        <v>7000</v>
      </c>
      <c r="AD46" s="9"/>
      <c r="AE46" s="9" t="str">
        <f t="shared" si="1"/>
        <v/>
      </c>
      <c r="AF46" s="23"/>
      <c r="AG46" s="23"/>
      <c r="AH46" s="23"/>
      <c r="AI46" s="23"/>
      <c r="AJ46" s="23"/>
      <c r="AK46" s="23"/>
      <c r="AL46" s="9"/>
      <c r="AM46" s="9" t="str">
        <f t="shared" si="2"/>
        <v/>
      </c>
      <c r="AN46" s="23"/>
      <c r="AO46" s="23"/>
      <c r="AP46" s="23"/>
      <c r="AQ46" s="23"/>
      <c r="AR46" s="23"/>
      <c r="AS46" s="23"/>
      <c r="AT46" s="9"/>
      <c r="AU46" s="9" t="str">
        <f t="shared" si="3"/>
        <v/>
      </c>
      <c r="AV46" s="23"/>
      <c r="AW46" s="23"/>
      <c r="AX46" s="23"/>
      <c r="AY46" s="23"/>
      <c r="AZ46" s="23"/>
      <c r="BA46" s="23"/>
      <c r="BB46" s="9"/>
    </row>
    <row r="47" spans="1:54" ht="94.5" x14ac:dyDescent="0.3">
      <c r="A47" s="8" t="s">
        <v>65</v>
      </c>
      <c r="B47" s="9" t="s">
        <v>66</v>
      </c>
      <c r="C47" s="22" t="s">
        <v>1618</v>
      </c>
      <c r="D47" s="9">
        <v>20260715</v>
      </c>
      <c r="E47" s="22">
        <v>1395520</v>
      </c>
      <c r="F47" s="22">
        <v>139552</v>
      </c>
      <c r="G47" s="9">
        <v>1535072</v>
      </c>
      <c r="H47" s="22" t="s">
        <v>109</v>
      </c>
      <c r="I47" s="8"/>
      <c r="J47" s="22" t="s">
        <v>566</v>
      </c>
      <c r="K47" s="22" t="s">
        <v>567</v>
      </c>
      <c r="L47" s="22" t="s">
        <v>568</v>
      </c>
      <c r="M47" s="22" t="s">
        <v>569</v>
      </c>
      <c r="N47" s="22" t="s">
        <v>570</v>
      </c>
      <c r="O47" s="22" t="s">
        <v>291</v>
      </c>
      <c r="P47" s="22" t="s">
        <v>571</v>
      </c>
      <c r="Q47" s="22" t="s">
        <v>292</v>
      </c>
      <c r="R47" s="22" t="s">
        <v>292</v>
      </c>
      <c r="S47" s="9"/>
      <c r="T47" s="9"/>
      <c r="U47" s="9"/>
      <c r="V47" s="9"/>
      <c r="W47" s="9" t="str">
        <f t="shared" si="0"/>
        <v>20260715</v>
      </c>
      <c r="X47" s="22" t="s">
        <v>1620</v>
      </c>
      <c r="Y47" s="23"/>
      <c r="Z47" s="22">
        <v>1</v>
      </c>
      <c r="AA47" s="22">
        <v>1395520</v>
      </c>
      <c r="AB47" s="22">
        <v>1395520</v>
      </c>
      <c r="AC47" s="22">
        <v>139552</v>
      </c>
      <c r="AD47" s="9"/>
      <c r="AE47" s="9" t="str">
        <f t="shared" si="1"/>
        <v/>
      </c>
      <c r="AF47" s="23"/>
      <c r="AG47" s="23"/>
      <c r="AH47" s="23"/>
      <c r="AI47" s="23"/>
      <c r="AJ47" s="23"/>
      <c r="AK47" s="23"/>
      <c r="AL47" s="9"/>
      <c r="AM47" s="9" t="str">
        <f t="shared" si="2"/>
        <v/>
      </c>
      <c r="AN47" s="23"/>
      <c r="AO47" s="23"/>
      <c r="AP47" s="23"/>
      <c r="AQ47" s="23"/>
      <c r="AR47" s="23"/>
      <c r="AS47" s="23"/>
      <c r="AT47" s="9"/>
      <c r="AU47" s="9" t="str">
        <f t="shared" si="3"/>
        <v/>
      </c>
      <c r="AV47" s="23"/>
      <c r="AW47" s="23"/>
      <c r="AX47" s="23"/>
      <c r="AY47" s="23"/>
      <c r="AZ47" s="23"/>
      <c r="BA47" s="23"/>
      <c r="BB47" s="9"/>
    </row>
    <row r="48" spans="1:54" ht="54" x14ac:dyDescent="0.3">
      <c r="A48" s="8" t="s">
        <v>65</v>
      </c>
      <c r="B48" s="9" t="s">
        <v>66</v>
      </c>
      <c r="C48" s="22" t="s">
        <v>1618</v>
      </c>
      <c r="D48" s="9">
        <v>20260715</v>
      </c>
      <c r="E48" s="22">
        <v>80000</v>
      </c>
      <c r="F48" s="22">
        <v>8000</v>
      </c>
      <c r="G48" s="9">
        <v>88000</v>
      </c>
      <c r="H48" s="22" t="s">
        <v>110</v>
      </c>
      <c r="I48" s="8"/>
      <c r="J48" s="22" t="s">
        <v>572</v>
      </c>
      <c r="K48" s="22" t="s">
        <v>573</v>
      </c>
      <c r="L48" s="22" t="s">
        <v>574</v>
      </c>
      <c r="M48" s="22" t="s">
        <v>575</v>
      </c>
      <c r="N48" s="22" t="s">
        <v>576</v>
      </c>
      <c r="O48" s="22" t="s">
        <v>291</v>
      </c>
      <c r="P48" s="22" t="s">
        <v>578</v>
      </c>
      <c r="Q48" s="22" t="s">
        <v>577</v>
      </c>
      <c r="R48" s="22" t="s">
        <v>292</v>
      </c>
      <c r="S48" s="9"/>
      <c r="T48" s="9"/>
      <c r="U48" s="9"/>
      <c r="V48" s="9"/>
      <c r="W48" s="9" t="str">
        <f t="shared" si="0"/>
        <v>20260715</v>
      </c>
      <c r="X48" s="22" t="s">
        <v>1640</v>
      </c>
      <c r="Y48" s="23"/>
      <c r="Z48" s="22">
        <v>1</v>
      </c>
      <c r="AA48" s="22">
        <v>80000</v>
      </c>
      <c r="AB48" s="22">
        <v>80000</v>
      </c>
      <c r="AC48" s="22">
        <v>8000</v>
      </c>
      <c r="AD48" s="9"/>
      <c r="AE48" s="9" t="str">
        <f t="shared" si="1"/>
        <v/>
      </c>
      <c r="AF48" s="23"/>
      <c r="AG48" s="23"/>
      <c r="AH48" s="23"/>
      <c r="AI48" s="23"/>
      <c r="AJ48" s="23"/>
      <c r="AK48" s="23"/>
      <c r="AL48" s="9"/>
      <c r="AM48" s="9" t="str">
        <f t="shared" si="2"/>
        <v/>
      </c>
      <c r="AN48" s="23"/>
      <c r="AO48" s="23"/>
      <c r="AP48" s="23"/>
      <c r="AQ48" s="23"/>
      <c r="AR48" s="23"/>
      <c r="AS48" s="23"/>
      <c r="AT48" s="9"/>
      <c r="AU48" s="9" t="str">
        <f t="shared" si="3"/>
        <v/>
      </c>
      <c r="AV48" s="23"/>
      <c r="AW48" s="23"/>
      <c r="AX48" s="23"/>
      <c r="AY48" s="23"/>
      <c r="AZ48" s="23"/>
      <c r="BA48" s="23"/>
      <c r="BB48" s="9"/>
    </row>
    <row r="49" spans="1:54" ht="40.5" x14ac:dyDescent="0.3">
      <c r="A49" s="8" t="s">
        <v>65</v>
      </c>
      <c r="B49" s="9" t="s">
        <v>66</v>
      </c>
      <c r="C49" s="22" t="s">
        <v>1618</v>
      </c>
      <c r="D49" s="9">
        <v>20260715</v>
      </c>
      <c r="E49" s="22">
        <v>45000</v>
      </c>
      <c r="F49" s="22">
        <v>4500</v>
      </c>
      <c r="G49" s="9">
        <v>49500</v>
      </c>
      <c r="H49" s="22" t="s">
        <v>111</v>
      </c>
      <c r="I49" s="8"/>
      <c r="J49" s="22" t="s">
        <v>579</v>
      </c>
      <c r="K49" s="22" t="s">
        <v>580</v>
      </c>
      <c r="L49" s="22" t="s">
        <v>581</v>
      </c>
      <c r="M49" s="22" t="s">
        <v>265</v>
      </c>
      <c r="N49" s="22" t="s">
        <v>582</v>
      </c>
      <c r="O49" s="22" t="s">
        <v>583</v>
      </c>
      <c r="P49" s="22" t="s">
        <v>585</v>
      </c>
      <c r="Q49" s="22" t="s">
        <v>322</v>
      </c>
      <c r="R49" s="22" t="s">
        <v>584</v>
      </c>
      <c r="S49" s="9"/>
      <c r="T49" s="9"/>
      <c r="U49" s="9"/>
      <c r="V49" s="9"/>
      <c r="W49" s="9" t="str">
        <f t="shared" si="0"/>
        <v>20260715</v>
      </c>
      <c r="X49" s="22" t="s">
        <v>1640</v>
      </c>
      <c r="Y49" s="23"/>
      <c r="Z49" s="22">
        <v>1</v>
      </c>
      <c r="AA49" s="22">
        <v>45000</v>
      </c>
      <c r="AB49" s="22">
        <v>45000</v>
      </c>
      <c r="AC49" s="22">
        <v>4500</v>
      </c>
      <c r="AD49" s="9"/>
      <c r="AE49" s="9" t="str">
        <f t="shared" si="1"/>
        <v/>
      </c>
      <c r="AF49" s="23"/>
      <c r="AG49" s="23"/>
      <c r="AH49" s="23"/>
      <c r="AI49" s="23"/>
      <c r="AJ49" s="23"/>
      <c r="AK49" s="23"/>
      <c r="AL49" s="9"/>
      <c r="AM49" s="9" t="str">
        <f t="shared" si="2"/>
        <v/>
      </c>
      <c r="AN49" s="23"/>
      <c r="AO49" s="23"/>
      <c r="AP49" s="23"/>
      <c r="AQ49" s="23"/>
      <c r="AR49" s="23"/>
      <c r="AS49" s="23"/>
      <c r="AT49" s="9"/>
      <c r="AU49" s="9" t="str">
        <f t="shared" si="3"/>
        <v/>
      </c>
      <c r="AV49" s="23"/>
      <c r="AW49" s="23"/>
      <c r="AX49" s="23"/>
      <c r="AY49" s="23"/>
      <c r="AZ49" s="23"/>
      <c r="BA49" s="23"/>
      <c r="BB49" s="9"/>
    </row>
    <row r="50" spans="1:54" ht="67.5" x14ac:dyDescent="0.3">
      <c r="A50" s="8" t="s">
        <v>65</v>
      </c>
      <c r="B50" s="9" t="s">
        <v>66</v>
      </c>
      <c r="C50" s="22" t="s">
        <v>1618</v>
      </c>
      <c r="D50" s="9">
        <v>20260715</v>
      </c>
      <c r="E50" s="22">
        <v>140000</v>
      </c>
      <c r="F50" s="22">
        <v>14000</v>
      </c>
      <c r="G50" s="9">
        <v>154000</v>
      </c>
      <c r="H50" s="22" t="s">
        <v>112</v>
      </c>
      <c r="I50" s="8"/>
      <c r="J50" s="22" t="s">
        <v>586</v>
      </c>
      <c r="K50" s="22" t="s">
        <v>587</v>
      </c>
      <c r="L50" s="22" t="s">
        <v>588</v>
      </c>
      <c r="M50" s="22" t="s">
        <v>589</v>
      </c>
      <c r="N50" s="22" t="s">
        <v>590</v>
      </c>
      <c r="O50" s="22" t="s">
        <v>591</v>
      </c>
      <c r="P50" s="22" t="s">
        <v>593</v>
      </c>
      <c r="Q50" s="22" t="s">
        <v>592</v>
      </c>
      <c r="R50" s="22" t="s">
        <v>292</v>
      </c>
      <c r="S50" s="9"/>
      <c r="T50" s="9"/>
      <c r="U50" s="9"/>
      <c r="V50" s="9"/>
      <c r="W50" s="9" t="str">
        <f t="shared" si="0"/>
        <v>20260715</v>
      </c>
      <c r="X50" s="22" t="s">
        <v>1645</v>
      </c>
      <c r="Y50" s="23"/>
      <c r="Z50" s="22">
        <v>1</v>
      </c>
      <c r="AA50" s="22">
        <v>140000</v>
      </c>
      <c r="AB50" s="22">
        <v>140000</v>
      </c>
      <c r="AC50" s="22">
        <v>14000</v>
      </c>
      <c r="AD50" s="9"/>
      <c r="AE50" s="9" t="str">
        <f t="shared" si="1"/>
        <v/>
      </c>
      <c r="AF50" s="23"/>
      <c r="AG50" s="23"/>
      <c r="AH50" s="23"/>
      <c r="AI50" s="23"/>
      <c r="AJ50" s="23"/>
      <c r="AK50" s="23"/>
      <c r="AL50" s="9"/>
      <c r="AM50" s="9" t="str">
        <f t="shared" si="2"/>
        <v/>
      </c>
      <c r="AN50" s="23"/>
      <c r="AO50" s="23"/>
      <c r="AP50" s="23"/>
      <c r="AQ50" s="23"/>
      <c r="AR50" s="23"/>
      <c r="AS50" s="23"/>
      <c r="AT50" s="9"/>
      <c r="AU50" s="9" t="str">
        <f t="shared" si="3"/>
        <v/>
      </c>
      <c r="AV50" s="23"/>
      <c r="AW50" s="23"/>
      <c r="AX50" s="23"/>
      <c r="AY50" s="23"/>
      <c r="AZ50" s="23"/>
      <c r="BA50" s="23"/>
      <c r="BB50" s="9"/>
    </row>
    <row r="51" spans="1:54" ht="40.5" x14ac:dyDescent="0.3">
      <c r="A51" s="8" t="s">
        <v>65</v>
      </c>
      <c r="B51" s="9" t="s">
        <v>66</v>
      </c>
      <c r="C51" s="22" t="s">
        <v>1618</v>
      </c>
      <c r="D51" s="9">
        <v>20260715</v>
      </c>
      <c r="E51" s="22">
        <v>137000</v>
      </c>
      <c r="F51" s="22">
        <v>13700</v>
      </c>
      <c r="G51" s="9">
        <v>150700</v>
      </c>
      <c r="H51" s="22" t="s">
        <v>113</v>
      </c>
      <c r="I51" s="8"/>
      <c r="J51" s="22" t="s">
        <v>594</v>
      </c>
      <c r="K51" s="22" t="s">
        <v>595</v>
      </c>
      <c r="L51" s="22" t="s">
        <v>596</v>
      </c>
      <c r="M51" s="22" t="s">
        <v>597</v>
      </c>
      <c r="N51" s="22" t="s">
        <v>598</v>
      </c>
      <c r="O51" s="22" t="s">
        <v>291</v>
      </c>
      <c r="P51" s="22" t="s">
        <v>600</v>
      </c>
      <c r="Q51" s="22" t="s">
        <v>599</v>
      </c>
      <c r="R51" s="22" t="s">
        <v>292</v>
      </c>
      <c r="S51" s="9"/>
      <c r="T51" s="9"/>
      <c r="U51" s="9"/>
      <c r="V51" s="9"/>
      <c r="W51" s="9" t="str">
        <f t="shared" si="0"/>
        <v>20260715</v>
      </c>
      <c r="X51" s="22" t="s">
        <v>1637</v>
      </c>
      <c r="Y51" s="23"/>
      <c r="Z51" s="22">
        <v>1</v>
      </c>
      <c r="AA51" s="22">
        <v>70000</v>
      </c>
      <c r="AB51" s="22">
        <v>70000</v>
      </c>
      <c r="AC51" s="22">
        <v>7000</v>
      </c>
      <c r="AD51" s="9"/>
      <c r="AE51" s="9" t="str">
        <f t="shared" si="1"/>
        <v>20260715</v>
      </c>
      <c r="AF51" s="22" t="s">
        <v>1626</v>
      </c>
      <c r="AG51" s="23"/>
      <c r="AH51" s="22">
        <v>1</v>
      </c>
      <c r="AI51" s="22">
        <v>67000</v>
      </c>
      <c r="AJ51" s="22">
        <v>67000</v>
      </c>
      <c r="AK51" s="22">
        <v>6700</v>
      </c>
      <c r="AL51" s="9"/>
      <c r="AM51" s="9" t="str">
        <f t="shared" si="2"/>
        <v/>
      </c>
      <c r="AN51" s="23"/>
      <c r="AO51" s="23"/>
      <c r="AP51" s="23"/>
      <c r="AQ51" s="23"/>
      <c r="AR51" s="23"/>
      <c r="AS51" s="23"/>
      <c r="AT51" s="9"/>
      <c r="AU51" s="9" t="str">
        <f t="shared" si="3"/>
        <v/>
      </c>
      <c r="AV51" s="23"/>
      <c r="AW51" s="23"/>
      <c r="AX51" s="23"/>
      <c r="AY51" s="23"/>
      <c r="AZ51" s="23"/>
      <c r="BA51" s="23"/>
      <c r="BB51" s="9"/>
    </row>
    <row r="52" spans="1:54" ht="54" x14ac:dyDescent="0.3">
      <c r="A52" s="8" t="s">
        <v>65</v>
      </c>
      <c r="B52" s="9" t="s">
        <v>66</v>
      </c>
      <c r="C52" s="22" t="s">
        <v>1618</v>
      </c>
      <c r="D52" s="9">
        <v>20260715</v>
      </c>
      <c r="E52" s="22">
        <v>205528</v>
      </c>
      <c r="F52" s="22">
        <v>20552</v>
      </c>
      <c r="G52" s="9">
        <v>226080</v>
      </c>
      <c r="H52" s="22" t="s">
        <v>114</v>
      </c>
      <c r="I52" s="8"/>
      <c r="J52" s="22" t="s">
        <v>601</v>
      </c>
      <c r="K52" s="22" t="s">
        <v>602</v>
      </c>
      <c r="L52" s="22" t="s">
        <v>603</v>
      </c>
      <c r="M52" s="22" t="s">
        <v>273</v>
      </c>
      <c r="N52" s="22" t="s">
        <v>604</v>
      </c>
      <c r="O52" s="22" t="s">
        <v>605</v>
      </c>
      <c r="P52" s="22" t="s">
        <v>608</v>
      </c>
      <c r="Q52" s="22" t="s">
        <v>606</v>
      </c>
      <c r="R52" s="22" t="s">
        <v>607</v>
      </c>
      <c r="S52" s="9"/>
      <c r="T52" s="9"/>
      <c r="U52" s="9"/>
      <c r="V52" s="9"/>
      <c r="W52" s="9" t="str">
        <f t="shared" si="0"/>
        <v>20260715</v>
      </c>
      <c r="X52" s="22" t="s">
        <v>1646</v>
      </c>
      <c r="Y52" s="23"/>
      <c r="Z52" s="22">
        <v>1</v>
      </c>
      <c r="AA52" s="22">
        <v>205528</v>
      </c>
      <c r="AB52" s="22">
        <v>205528</v>
      </c>
      <c r="AC52" s="22">
        <v>20552</v>
      </c>
      <c r="AD52" s="9"/>
      <c r="AE52" s="9" t="str">
        <f t="shared" si="1"/>
        <v/>
      </c>
      <c r="AF52" s="23"/>
      <c r="AG52" s="23"/>
      <c r="AH52" s="23"/>
      <c r="AI52" s="23"/>
      <c r="AJ52" s="23"/>
      <c r="AK52" s="23"/>
      <c r="AL52" s="9"/>
      <c r="AM52" s="9" t="str">
        <f t="shared" si="2"/>
        <v/>
      </c>
      <c r="AN52" s="23"/>
      <c r="AO52" s="23"/>
      <c r="AP52" s="23"/>
      <c r="AQ52" s="23"/>
      <c r="AR52" s="23"/>
      <c r="AS52" s="23"/>
      <c r="AT52" s="9"/>
      <c r="AU52" s="9" t="str">
        <f t="shared" si="3"/>
        <v/>
      </c>
      <c r="AV52" s="23"/>
      <c r="AW52" s="23"/>
      <c r="AX52" s="23"/>
      <c r="AY52" s="23"/>
      <c r="AZ52" s="23"/>
      <c r="BA52" s="23"/>
      <c r="BB52" s="9"/>
    </row>
    <row r="53" spans="1:54" ht="54" x14ac:dyDescent="0.3">
      <c r="A53" s="8" t="s">
        <v>65</v>
      </c>
      <c r="B53" s="9" t="s">
        <v>66</v>
      </c>
      <c r="C53" s="22" t="s">
        <v>1618</v>
      </c>
      <c r="D53" s="9">
        <v>20260715</v>
      </c>
      <c r="E53" s="22">
        <v>70000</v>
      </c>
      <c r="F53" s="22">
        <v>7000</v>
      </c>
      <c r="G53" s="9">
        <v>77000</v>
      </c>
      <c r="H53" s="22" t="s">
        <v>115</v>
      </c>
      <c r="I53" s="8"/>
      <c r="J53" s="22" t="s">
        <v>609</v>
      </c>
      <c r="K53" s="22" t="s">
        <v>610</v>
      </c>
      <c r="L53" s="22" t="s">
        <v>611</v>
      </c>
      <c r="M53" s="22" t="s">
        <v>612</v>
      </c>
      <c r="N53" s="22" t="s">
        <v>613</v>
      </c>
      <c r="O53" s="22" t="s">
        <v>610</v>
      </c>
      <c r="P53" s="22" t="s">
        <v>616</v>
      </c>
      <c r="Q53" s="22" t="s">
        <v>614</v>
      </c>
      <c r="R53" s="22" t="s">
        <v>615</v>
      </c>
      <c r="S53" s="9"/>
      <c r="T53" s="9"/>
      <c r="U53" s="9"/>
      <c r="V53" s="9"/>
      <c r="W53" s="9" t="str">
        <f t="shared" si="0"/>
        <v>20260715</v>
      </c>
      <c r="X53" s="22" t="s">
        <v>1626</v>
      </c>
      <c r="Y53" s="23"/>
      <c r="Z53" s="22">
        <v>1</v>
      </c>
      <c r="AA53" s="22">
        <v>70000</v>
      </c>
      <c r="AB53" s="22">
        <v>70000</v>
      </c>
      <c r="AC53" s="22">
        <v>7000</v>
      </c>
      <c r="AD53" s="9"/>
      <c r="AE53" s="9" t="str">
        <f t="shared" si="1"/>
        <v/>
      </c>
      <c r="AF53" s="23"/>
      <c r="AG53" s="23"/>
      <c r="AH53" s="23"/>
      <c r="AI53" s="23"/>
      <c r="AJ53" s="23"/>
      <c r="AK53" s="23"/>
      <c r="AL53" s="9"/>
      <c r="AM53" s="9" t="str">
        <f t="shared" si="2"/>
        <v/>
      </c>
      <c r="AN53" s="23"/>
      <c r="AO53" s="23"/>
      <c r="AP53" s="23"/>
      <c r="AQ53" s="23"/>
      <c r="AR53" s="23"/>
      <c r="AS53" s="23"/>
      <c r="AT53" s="9"/>
      <c r="AU53" s="9" t="str">
        <f t="shared" si="3"/>
        <v/>
      </c>
      <c r="AV53" s="23"/>
      <c r="AW53" s="23"/>
      <c r="AX53" s="23"/>
      <c r="AY53" s="23"/>
      <c r="AZ53" s="23"/>
      <c r="BA53" s="23"/>
      <c r="BB53" s="9"/>
    </row>
    <row r="54" spans="1:54" ht="54" x14ac:dyDescent="0.3">
      <c r="A54" s="8" t="s">
        <v>65</v>
      </c>
      <c r="B54" s="9" t="s">
        <v>66</v>
      </c>
      <c r="C54" s="22" t="s">
        <v>1618</v>
      </c>
      <c r="D54" s="9">
        <v>20260715</v>
      </c>
      <c r="E54" s="22">
        <v>90000</v>
      </c>
      <c r="F54" s="22">
        <v>9000</v>
      </c>
      <c r="G54" s="9">
        <v>99000</v>
      </c>
      <c r="H54" s="22" t="s">
        <v>116</v>
      </c>
      <c r="I54" s="8"/>
      <c r="J54" s="22" t="s">
        <v>617</v>
      </c>
      <c r="K54" s="22" t="s">
        <v>618</v>
      </c>
      <c r="L54" s="22" t="s">
        <v>619</v>
      </c>
      <c r="M54" s="22" t="s">
        <v>542</v>
      </c>
      <c r="N54" s="22" t="s">
        <v>620</v>
      </c>
      <c r="O54" s="22" t="s">
        <v>621</v>
      </c>
      <c r="P54" s="22" t="s">
        <v>624</v>
      </c>
      <c r="Q54" s="22" t="s">
        <v>622</v>
      </c>
      <c r="R54" s="22" t="s">
        <v>623</v>
      </c>
      <c r="S54" s="9"/>
      <c r="T54" s="9"/>
      <c r="U54" s="9"/>
      <c r="V54" s="9"/>
      <c r="W54" s="9" t="str">
        <f t="shared" si="0"/>
        <v>20260715</v>
      </c>
      <c r="X54" s="22" t="s">
        <v>1647</v>
      </c>
      <c r="Y54" s="23"/>
      <c r="Z54" s="22">
        <v>1</v>
      </c>
      <c r="AA54" s="22">
        <v>90000</v>
      </c>
      <c r="AB54" s="22">
        <v>90000</v>
      </c>
      <c r="AC54" s="22">
        <v>9000</v>
      </c>
      <c r="AD54" s="9"/>
      <c r="AE54" s="9" t="str">
        <f t="shared" si="1"/>
        <v/>
      </c>
      <c r="AF54" s="23"/>
      <c r="AG54" s="23"/>
      <c r="AH54" s="23"/>
      <c r="AI54" s="23"/>
      <c r="AJ54" s="23"/>
      <c r="AK54" s="23"/>
      <c r="AL54" s="9"/>
      <c r="AM54" s="9" t="str">
        <f t="shared" si="2"/>
        <v/>
      </c>
      <c r="AN54" s="23"/>
      <c r="AO54" s="23"/>
      <c r="AP54" s="23"/>
      <c r="AQ54" s="23"/>
      <c r="AR54" s="23"/>
      <c r="AS54" s="23"/>
      <c r="AT54" s="9"/>
      <c r="AU54" s="9" t="str">
        <f t="shared" si="3"/>
        <v/>
      </c>
      <c r="AV54" s="23"/>
      <c r="AW54" s="23"/>
      <c r="AX54" s="23"/>
      <c r="AY54" s="23"/>
      <c r="AZ54" s="23"/>
      <c r="BA54" s="23"/>
      <c r="BB54" s="9"/>
    </row>
    <row r="55" spans="1:54" ht="67.5" x14ac:dyDescent="0.3">
      <c r="A55" s="8" t="s">
        <v>65</v>
      </c>
      <c r="B55" s="9" t="s">
        <v>66</v>
      </c>
      <c r="C55" s="22" t="s">
        <v>1618</v>
      </c>
      <c r="D55" s="9">
        <v>20260715</v>
      </c>
      <c r="E55" s="22">
        <v>130000</v>
      </c>
      <c r="F55" s="22">
        <v>13000</v>
      </c>
      <c r="G55" s="9">
        <v>143000</v>
      </c>
      <c r="H55" s="22" t="s">
        <v>117</v>
      </c>
      <c r="I55" s="8"/>
      <c r="J55" s="22" t="s">
        <v>625</v>
      </c>
      <c r="K55" s="22" t="s">
        <v>626</v>
      </c>
      <c r="L55" s="22" t="s">
        <v>627</v>
      </c>
      <c r="M55" s="22" t="s">
        <v>628</v>
      </c>
      <c r="N55" s="22" t="s">
        <v>629</v>
      </c>
      <c r="O55" s="22" t="s">
        <v>630</v>
      </c>
      <c r="P55" s="22" t="s">
        <v>633</v>
      </c>
      <c r="Q55" s="22" t="s">
        <v>631</v>
      </c>
      <c r="R55" s="22" t="s">
        <v>632</v>
      </c>
      <c r="S55" s="9"/>
      <c r="T55" s="9"/>
      <c r="U55" s="9"/>
      <c r="V55" s="9"/>
      <c r="W55" s="9" t="str">
        <f t="shared" si="0"/>
        <v>20260715</v>
      </c>
      <c r="X55" s="22" t="s">
        <v>1621</v>
      </c>
      <c r="Y55" s="23"/>
      <c r="Z55" s="22">
        <v>1</v>
      </c>
      <c r="AA55" s="22">
        <v>130000</v>
      </c>
      <c r="AB55" s="22">
        <v>130000</v>
      </c>
      <c r="AC55" s="22">
        <v>13000</v>
      </c>
      <c r="AD55" s="9"/>
      <c r="AE55" s="9" t="str">
        <f t="shared" si="1"/>
        <v/>
      </c>
      <c r="AF55" s="23"/>
      <c r="AG55" s="23"/>
      <c r="AH55" s="23"/>
      <c r="AI55" s="23"/>
      <c r="AJ55" s="23"/>
      <c r="AK55" s="23"/>
      <c r="AL55" s="9"/>
      <c r="AM55" s="9" t="str">
        <f t="shared" si="2"/>
        <v/>
      </c>
      <c r="AN55" s="23"/>
      <c r="AO55" s="23"/>
      <c r="AP55" s="23"/>
      <c r="AQ55" s="23"/>
      <c r="AR55" s="23"/>
      <c r="AS55" s="23"/>
      <c r="AT55" s="9"/>
      <c r="AU55" s="9" t="str">
        <f t="shared" si="3"/>
        <v/>
      </c>
      <c r="AV55" s="23"/>
      <c r="AW55" s="23"/>
      <c r="AX55" s="23"/>
      <c r="AY55" s="23"/>
      <c r="AZ55" s="23"/>
      <c r="BA55" s="23"/>
      <c r="BB55" s="9"/>
    </row>
    <row r="56" spans="1:54" ht="81" x14ac:dyDescent="0.3">
      <c r="A56" s="8" t="s">
        <v>65</v>
      </c>
      <c r="B56" s="9" t="s">
        <v>66</v>
      </c>
      <c r="C56" s="22" t="s">
        <v>1618</v>
      </c>
      <c r="D56" s="9">
        <v>20260715</v>
      </c>
      <c r="E56" s="22">
        <v>150000</v>
      </c>
      <c r="F56" s="22">
        <v>15000</v>
      </c>
      <c r="G56" s="9">
        <v>165000</v>
      </c>
      <c r="H56" s="22" t="s">
        <v>118</v>
      </c>
      <c r="I56" s="8"/>
      <c r="J56" s="22" t="s">
        <v>634</v>
      </c>
      <c r="K56" s="22" t="s">
        <v>635</v>
      </c>
      <c r="L56" s="22" t="s">
        <v>636</v>
      </c>
      <c r="M56" s="22" t="s">
        <v>297</v>
      </c>
      <c r="N56" s="22" t="s">
        <v>637</v>
      </c>
      <c r="O56" s="22" t="s">
        <v>638</v>
      </c>
      <c r="P56" s="22" t="s">
        <v>640</v>
      </c>
      <c r="Q56" s="22" t="s">
        <v>639</v>
      </c>
      <c r="R56" s="22" t="s">
        <v>639</v>
      </c>
      <c r="S56" s="9"/>
      <c r="T56" s="9"/>
      <c r="U56" s="9"/>
      <c r="V56" s="9"/>
      <c r="W56" s="9" t="str">
        <f t="shared" si="0"/>
        <v>20260715</v>
      </c>
      <c r="X56" s="22" t="s">
        <v>1648</v>
      </c>
      <c r="Y56" s="23"/>
      <c r="Z56" s="22">
        <v>1</v>
      </c>
      <c r="AA56" s="22">
        <v>150000</v>
      </c>
      <c r="AB56" s="22">
        <v>150000</v>
      </c>
      <c r="AC56" s="22">
        <v>15000</v>
      </c>
      <c r="AD56" s="9"/>
      <c r="AE56" s="9" t="str">
        <f t="shared" si="1"/>
        <v/>
      </c>
      <c r="AF56" s="23"/>
      <c r="AG56" s="23"/>
      <c r="AH56" s="23"/>
      <c r="AI56" s="23"/>
      <c r="AJ56" s="23"/>
      <c r="AK56" s="23"/>
      <c r="AL56" s="9"/>
      <c r="AM56" s="9" t="str">
        <f t="shared" si="2"/>
        <v/>
      </c>
      <c r="AN56" s="23"/>
      <c r="AO56" s="23"/>
      <c r="AP56" s="23"/>
      <c r="AQ56" s="23"/>
      <c r="AR56" s="23"/>
      <c r="AS56" s="23"/>
      <c r="AT56" s="9"/>
      <c r="AU56" s="9" t="str">
        <f t="shared" si="3"/>
        <v/>
      </c>
      <c r="AV56" s="23"/>
      <c r="AW56" s="23"/>
      <c r="AX56" s="23"/>
      <c r="AY56" s="23"/>
      <c r="AZ56" s="23"/>
      <c r="BA56" s="23"/>
      <c r="BB56" s="9"/>
    </row>
    <row r="57" spans="1:54" ht="81" x14ac:dyDescent="0.3">
      <c r="A57" s="8" t="s">
        <v>65</v>
      </c>
      <c r="B57" s="9" t="s">
        <v>66</v>
      </c>
      <c r="C57" s="22" t="s">
        <v>1618</v>
      </c>
      <c r="D57" s="9">
        <v>20260715</v>
      </c>
      <c r="E57" s="22">
        <v>237500</v>
      </c>
      <c r="F57" s="22">
        <v>23750</v>
      </c>
      <c r="G57" s="9">
        <v>261250</v>
      </c>
      <c r="H57" s="22" t="s">
        <v>119</v>
      </c>
      <c r="I57" s="8"/>
      <c r="J57" s="22" t="s">
        <v>641</v>
      </c>
      <c r="K57" s="22" t="s">
        <v>642</v>
      </c>
      <c r="L57" s="22" t="s">
        <v>643</v>
      </c>
      <c r="M57" s="22" t="s">
        <v>644</v>
      </c>
      <c r="N57" s="22" t="s">
        <v>645</v>
      </c>
      <c r="O57" s="22" t="s">
        <v>646</v>
      </c>
      <c r="P57" s="22" t="s">
        <v>649</v>
      </c>
      <c r="Q57" s="22" t="s">
        <v>647</v>
      </c>
      <c r="R57" s="22" t="s">
        <v>648</v>
      </c>
      <c r="S57" s="9"/>
      <c r="T57" s="9"/>
      <c r="U57" s="9"/>
      <c r="V57" s="9"/>
      <c r="W57" s="9" t="str">
        <f t="shared" si="0"/>
        <v>20260715</v>
      </c>
      <c r="X57" s="22" t="s">
        <v>1621</v>
      </c>
      <c r="Y57" s="23"/>
      <c r="Z57" s="22">
        <v>1</v>
      </c>
      <c r="AA57" s="22">
        <v>237500</v>
      </c>
      <c r="AB57" s="22">
        <v>237500</v>
      </c>
      <c r="AC57" s="22">
        <v>23750</v>
      </c>
      <c r="AD57" s="9"/>
      <c r="AE57" s="9" t="str">
        <f t="shared" si="1"/>
        <v/>
      </c>
      <c r="AF57" s="23"/>
      <c r="AG57" s="23"/>
      <c r="AH57" s="23"/>
      <c r="AI57" s="23"/>
      <c r="AJ57" s="23"/>
      <c r="AK57" s="23"/>
      <c r="AL57" s="9"/>
      <c r="AM57" s="9" t="str">
        <f t="shared" si="2"/>
        <v/>
      </c>
      <c r="AN57" s="23"/>
      <c r="AO57" s="23"/>
      <c r="AP57" s="23"/>
      <c r="AQ57" s="23"/>
      <c r="AR57" s="23"/>
      <c r="AS57" s="23"/>
      <c r="AT57" s="9"/>
      <c r="AU57" s="9" t="str">
        <f t="shared" si="3"/>
        <v/>
      </c>
      <c r="AV57" s="23"/>
      <c r="AW57" s="23"/>
      <c r="AX57" s="23"/>
      <c r="AY57" s="23"/>
      <c r="AZ57" s="23"/>
      <c r="BA57" s="23"/>
      <c r="BB57" s="9"/>
    </row>
    <row r="58" spans="1:54" ht="54" x14ac:dyDescent="0.3">
      <c r="A58" s="8" t="s">
        <v>65</v>
      </c>
      <c r="B58" s="9" t="s">
        <v>66</v>
      </c>
      <c r="C58" s="22" t="s">
        <v>1618</v>
      </c>
      <c r="D58" s="9">
        <v>20260715</v>
      </c>
      <c r="E58" s="22">
        <v>184000</v>
      </c>
      <c r="F58" s="22">
        <v>18400</v>
      </c>
      <c r="G58" s="9">
        <v>202400</v>
      </c>
      <c r="H58" s="22" t="s">
        <v>120</v>
      </c>
      <c r="I58" s="8"/>
      <c r="J58" s="22" t="s">
        <v>650</v>
      </c>
      <c r="K58" s="22" t="s">
        <v>651</v>
      </c>
      <c r="L58" s="22" t="s">
        <v>652</v>
      </c>
      <c r="M58" s="22" t="s">
        <v>653</v>
      </c>
      <c r="N58" s="22" t="s">
        <v>654</v>
      </c>
      <c r="O58" s="22" t="s">
        <v>655</v>
      </c>
      <c r="P58" s="22" t="s">
        <v>657</v>
      </c>
      <c r="Q58" s="22" t="s">
        <v>259</v>
      </c>
      <c r="R58" s="22" t="s">
        <v>656</v>
      </c>
      <c r="S58" s="9"/>
      <c r="T58" s="9"/>
      <c r="U58" s="9"/>
      <c r="V58" s="9"/>
      <c r="W58" s="9" t="str">
        <f t="shared" si="0"/>
        <v>20260715</v>
      </c>
      <c r="X58" s="22" t="s">
        <v>1622</v>
      </c>
      <c r="Y58" s="23"/>
      <c r="Z58" s="22">
        <v>1</v>
      </c>
      <c r="AA58" s="22">
        <v>184000</v>
      </c>
      <c r="AB58" s="22">
        <v>184000</v>
      </c>
      <c r="AC58" s="22">
        <v>18400</v>
      </c>
      <c r="AD58" s="9"/>
      <c r="AE58" s="9" t="str">
        <f t="shared" si="1"/>
        <v/>
      </c>
      <c r="AF58" s="23"/>
      <c r="AG58" s="23"/>
      <c r="AH58" s="23"/>
      <c r="AI58" s="23"/>
      <c r="AJ58" s="23"/>
      <c r="AK58" s="23"/>
      <c r="AL58" s="9"/>
      <c r="AM58" s="9" t="str">
        <f t="shared" si="2"/>
        <v/>
      </c>
      <c r="AN58" s="23"/>
      <c r="AO58" s="23"/>
      <c r="AP58" s="23"/>
      <c r="AQ58" s="23"/>
      <c r="AR58" s="23"/>
      <c r="AS58" s="23"/>
      <c r="AT58" s="9"/>
      <c r="AU58" s="9" t="str">
        <f t="shared" si="3"/>
        <v/>
      </c>
      <c r="AV58" s="23"/>
      <c r="AW58" s="23"/>
      <c r="AX58" s="23"/>
      <c r="AY58" s="23"/>
      <c r="AZ58" s="23"/>
      <c r="BA58" s="23"/>
      <c r="BB58" s="9"/>
    </row>
    <row r="59" spans="1:54" ht="67.5" x14ac:dyDescent="0.3">
      <c r="A59" s="8" t="s">
        <v>65</v>
      </c>
      <c r="B59" s="9" t="s">
        <v>66</v>
      </c>
      <c r="C59" s="22" t="s">
        <v>1618</v>
      </c>
      <c r="D59" s="9">
        <v>20260715</v>
      </c>
      <c r="E59" s="22">
        <v>200000</v>
      </c>
      <c r="F59" s="22">
        <v>20000</v>
      </c>
      <c r="G59" s="9">
        <v>220000</v>
      </c>
      <c r="H59" s="22" t="s">
        <v>121</v>
      </c>
      <c r="I59" s="8"/>
      <c r="J59" s="22" t="s">
        <v>658</v>
      </c>
      <c r="K59" s="22" t="s">
        <v>659</v>
      </c>
      <c r="L59" s="22" t="s">
        <v>660</v>
      </c>
      <c r="M59" s="22" t="s">
        <v>661</v>
      </c>
      <c r="N59" s="22" t="s">
        <v>662</v>
      </c>
      <c r="O59" s="22" t="s">
        <v>663</v>
      </c>
      <c r="P59" s="22" t="s">
        <v>666</v>
      </c>
      <c r="Q59" s="22" t="s">
        <v>664</v>
      </c>
      <c r="R59" s="22" t="s">
        <v>665</v>
      </c>
      <c r="S59" s="9"/>
      <c r="T59" s="9"/>
      <c r="U59" s="9"/>
      <c r="V59" s="9"/>
      <c r="W59" s="9" t="str">
        <f t="shared" si="0"/>
        <v>20260715</v>
      </c>
      <c r="X59" s="22" t="s">
        <v>1621</v>
      </c>
      <c r="Y59" s="23"/>
      <c r="Z59" s="22">
        <v>1</v>
      </c>
      <c r="AA59" s="22">
        <v>200000</v>
      </c>
      <c r="AB59" s="22">
        <v>200000</v>
      </c>
      <c r="AC59" s="22">
        <v>20000</v>
      </c>
      <c r="AD59" s="9"/>
      <c r="AE59" s="9" t="str">
        <f t="shared" si="1"/>
        <v/>
      </c>
      <c r="AF59" s="23"/>
      <c r="AG59" s="23"/>
      <c r="AH59" s="23"/>
      <c r="AI59" s="23"/>
      <c r="AJ59" s="23"/>
      <c r="AK59" s="23"/>
      <c r="AL59" s="9"/>
      <c r="AM59" s="9" t="str">
        <f t="shared" si="2"/>
        <v/>
      </c>
      <c r="AN59" s="23"/>
      <c r="AO59" s="23"/>
      <c r="AP59" s="23"/>
      <c r="AQ59" s="23"/>
      <c r="AR59" s="23"/>
      <c r="AS59" s="23"/>
      <c r="AT59" s="9"/>
      <c r="AU59" s="9" t="str">
        <f t="shared" si="3"/>
        <v/>
      </c>
      <c r="AV59" s="23"/>
      <c r="AW59" s="23"/>
      <c r="AX59" s="23"/>
      <c r="AY59" s="23"/>
      <c r="AZ59" s="23"/>
      <c r="BA59" s="23"/>
      <c r="BB59" s="9"/>
    </row>
    <row r="60" spans="1:54" ht="40.5" x14ac:dyDescent="0.3">
      <c r="A60" s="8" t="s">
        <v>65</v>
      </c>
      <c r="B60" s="9" t="s">
        <v>66</v>
      </c>
      <c r="C60" s="22" t="s">
        <v>1618</v>
      </c>
      <c r="D60" s="9">
        <v>20260715</v>
      </c>
      <c r="E60" s="22">
        <v>250000</v>
      </c>
      <c r="F60" s="22">
        <v>25000</v>
      </c>
      <c r="G60" s="9">
        <v>275000</v>
      </c>
      <c r="H60" s="22" t="s">
        <v>122</v>
      </c>
      <c r="I60" s="8"/>
      <c r="J60" s="22" t="s">
        <v>667</v>
      </c>
      <c r="K60" s="22" t="s">
        <v>668</v>
      </c>
      <c r="L60" s="22" t="s">
        <v>669</v>
      </c>
      <c r="M60" s="22" t="s">
        <v>670</v>
      </c>
      <c r="N60" s="22" t="s">
        <v>671</v>
      </c>
      <c r="O60" s="22" t="s">
        <v>672</v>
      </c>
      <c r="P60" s="22" t="s">
        <v>675</v>
      </c>
      <c r="Q60" s="22" t="s">
        <v>673</v>
      </c>
      <c r="R60" s="22" t="s">
        <v>674</v>
      </c>
      <c r="S60" s="9"/>
      <c r="T60" s="9"/>
      <c r="U60" s="9"/>
      <c r="V60" s="9"/>
      <c r="W60" s="9" t="str">
        <f t="shared" si="0"/>
        <v>20260715</v>
      </c>
      <c r="X60" s="22" t="s">
        <v>1621</v>
      </c>
      <c r="Y60" s="23"/>
      <c r="Z60" s="22">
        <v>1</v>
      </c>
      <c r="AA60" s="22">
        <v>250000</v>
      </c>
      <c r="AB60" s="22">
        <v>250000</v>
      </c>
      <c r="AC60" s="22">
        <v>25000</v>
      </c>
      <c r="AD60" s="9"/>
      <c r="AE60" s="9" t="str">
        <f t="shared" si="1"/>
        <v/>
      </c>
      <c r="AF60" s="23"/>
      <c r="AG60" s="23"/>
      <c r="AH60" s="23"/>
      <c r="AI60" s="23"/>
      <c r="AJ60" s="23"/>
      <c r="AK60" s="23"/>
      <c r="AL60" s="9"/>
      <c r="AM60" s="9" t="str">
        <f t="shared" si="2"/>
        <v/>
      </c>
      <c r="AN60" s="23"/>
      <c r="AO60" s="23"/>
      <c r="AP60" s="23"/>
      <c r="AQ60" s="23"/>
      <c r="AR60" s="23"/>
      <c r="AS60" s="23"/>
      <c r="AT60" s="9"/>
      <c r="AU60" s="9" t="str">
        <f t="shared" si="3"/>
        <v/>
      </c>
      <c r="AV60" s="23"/>
      <c r="AW60" s="23"/>
      <c r="AX60" s="23"/>
      <c r="AY60" s="23"/>
      <c r="AZ60" s="23"/>
      <c r="BA60" s="23"/>
      <c r="BB60" s="9"/>
    </row>
    <row r="61" spans="1:54" ht="54" x14ac:dyDescent="0.3">
      <c r="A61" s="8" t="s">
        <v>65</v>
      </c>
      <c r="B61" s="9" t="s">
        <v>66</v>
      </c>
      <c r="C61" s="22" t="s">
        <v>1618</v>
      </c>
      <c r="D61" s="9">
        <v>20260715</v>
      </c>
      <c r="E61" s="22">
        <v>170000</v>
      </c>
      <c r="F61" s="22">
        <v>17000</v>
      </c>
      <c r="G61" s="9">
        <v>187000</v>
      </c>
      <c r="H61" s="22" t="s">
        <v>123</v>
      </c>
      <c r="I61" s="8"/>
      <c r="J61" s="22" t="s">
        <v>676</v>
      </c>
      <c r="K61" s="22" t="s">
        <v>533</v>
      </c>
      <c r="L61" s="22" t="s">
        <v>677</v>
      </c>
      <c r="M61" s="22" t="s">
        <v>678</v>
      </c>
      <c r="N61" s="22" t="s">
        <v>679</v>
      </c>
      <c r="O61" s="22" t="s">
        <v>680</v>
      </c>
      <c r="P61" s="22" t="s">
        <v>682</v>
      </c>
      <c r="Q61" s="22" t="s">
        <v>681</v>
      </c>
      <c r="R61" s="22" t="s">
        <v>292</v>
      </c>
      <c r="S61" s="9"/>
      <c r="T61" s="9"/>
      <c r="U61" s="9"/>
      <c r="V61" s="9"/>
      <c r="W61" s="9" t="str">
        <f t="shared" si="0"/>
        <v>20260715</v>
      </c>
      <c r="X61" s="22" t="s">
        <v>1624</v>
      </c>
      <c r="Y61" s="23"/>
      <c r="Z61" s="22">
        <v>1</v>
      </c>
      <c r="AA61" s="22">
        <v>170000</v>
      </c>
      <c r="AB61" s="22">
        <v>170000</v>
      </c>
      <c r="AC61" s="22">
        <v>17000</v>
      </c>
      <c r="AD61" s="9"/>
      <c r="AE61" s="9" t="str">
        <f t="shared" si="1"/>
        <v/>
      </c>
      <c r="AF61" s="23"/>
      <c r="AG61" s="23"/>
      <c r="AH61" s="23"/>
      <c r="AI61" s="23"/>
      <c r="AJ61" s="23"/>
      <c r="AK61" s="23"/>
      <c r="AL61" s="9"/>
      <c r="AM61" s="9" t="str">
        <f t="shared" si="2"/>
        <v/>
      </c>
      <c r="AN61" s="23"/>
      <c r="AO61" s="23"/>
      <c r="AP61" s="23"/>
      <c r="AQ61" s="23"/>
      <c r="AR61" s="23"/>
      <c r="AS61" s="23"/>
      <c r="AT61" s="9"/>
      <c r="AU61" s="9" t="str">
        <f t="shared" si="3"/>
        <v/>
      </c>
      <c r="AV61" s="23"/>
      <c r="AW61" s="23"/>
      <c r="AX61" s="23"/>
      <c r="AY61" s="23"/>
      <c r="AZ61" s="23"/>
      <c r="BA61" s="23"/>
      <c r="BB61" s="9"/>
    </row>
    <row r="62" spans="1:54" ht="40.5" x14ac:dyDescent="0.3">
      <c r="A62" s="8" t="s">
        <v>65</v>
      </c>
      <c r="B62" s="9" t="s">
        <v>66</v>
      </c>
      <c r="C62" s="22" t="s">
        <v>1618</v>
      </c>
      <c r="D62" s="9">
        <v>20260715</v>
      </c>
      <c r="E62" s="22">
        <v>288000</v>
      </c>
      <c r="F62" s="22">
        <v>28800</v>
      </c>
      <c r="G62" s="9">
        <v>316800</v>
      </c>
      <c r="H62" s="22" t="s">
        <v>124</v>
      </c>
      <c r="I62" s="8"/>
      <c r="J62" s="22" t="s">
        <v>683</v>
      </c>
      <c r="K62" s="22" t="s">
        <v>684</v>
      </c>
      <c r="L62" s="22" t="s">
        <v>685</v>
      </c>
      <c r="M62" s="22" t="s">
        <v>597</v>
      </c>
      <c r="N62" s="22" t="s">
        <v>686</v>
      </c>
      <c r="O62" s="22" t="s">
        <v>687</v>
      </c>
      <c r="P62" s="22" t="s">
        <v>689</v>
      </c>
      <c r="Q62" s="22" t="s">
        <v>688</v>
      </c>
      <c r="R62" s="22" t="s">
        <v>292</v>
      </c>
      <c r="S62" s="9"/>
      <c r="T62" s="9"/>
      <c r="U62" s="9"/>
      <c r="V62" s="9"/>
      <c r="W62" s="9" t="str">
        <f t="shared" si="0"/>
        <v>20260715</v>
      </c>
      <c r="X62" s="22" t="s">
        <v>1621</v>
      </c>
      <c r="Y62" s="23"/>
      <c r="Z62" s="22">
        <v>1</v>
      </c>
      <c r="AA62" s="22">
        <v>180000</v>
      </c>
      <c r="AB62" s="22">
        <v>180000</v>
      </c>
      <c r="AC62" s="22">
        <v>18000</v>
      </c>
      <c r="AD62" s="9"/>
      <c r="AE62" s="9" t="str">
        <f t="shared" si="1"/>
        <v>20260715</v>
      </c>
      <c r="AF62" s="22" t="s">
        <v>1689</v>
      </c>
      <c r="AG62" s="23"/>
      <c r="AH62" s="22">
        <v>1</v>
      </c>
      <c r="AI62" s="22">
        <v>108000</v>
      </c>
      <c r="AJ62" s="22">
        <v>108000</v>
      </c>
      <c r="AK62" s="22">
        <v>10800</v>
      </c>
      <c r="AL62" s="9"/>
      <c r="AM62" s="9" t="str">
        <f t="shared" si="2"/>
        <v/>
      </c>
      <c r="AN62" s="23"/>
      <c r="AO62" s="23"/>
      <c r="AP62" s="23"/>
      <c r="AQ62" s="23"/>
      <c r="AR62" s="23"/>
      <c r="AS62" s="23"/>
      <c r="AT62" s="9"/>
      <c r="AU62" s="9" t="str">
        <f t="shared" si="3"/>
        <v/>
      </c>
      <c r="AV62" s="23"/>
      <c r="AW62" s="23"/>
      <c r="AX62" s="23"/>
      <c r="AY62" s="23"/>
      <c r="AZ62" s="23"/>
      <c r="BA62" s="23"/>
      <c r="BB62" s="9"/>
    </row>
    <row r="63" spans="1:54" ht="54" x14ac:dyDescent="0.3">
      <c r="A63" s="8" t="s">
        <v>65</v>
      </c>
      <c r="B63" s="9" t="s">
        <v>66</v>
      </c>
      <c r="C63" s="22" t="s">
        <v>1618</v>
      </c>
      <c r="D63" s="9">
        <v>20260715</v>
      </c>
      <c r="E63" s="22">
        <v>150000</v>
      </c>
      <c r="F63" s="22">
        <v>15000</v>
      </c>
      <c r="G63" s="9">
        <v>165000</v>
      </c>
      <c r="H63" s="22" t="s">
        <v>125</v>
      </c>
      <c r="I63" s="8"/>
      <c r="J63" s="22" t="s">
        <v>690</v>
      </c>
      <c r="K63" s="22" t="s">
        <v>691</v>
      </c>
      <c r="L63" s="22" t="s">
        <v>692</v>
      </c>
      <c r="M63" s="22" t="s">
        <v>693</v>
      </c>
      <c r="N63" s="22" t="s">
        <v>694</v>
      </c>
      <c r="O63" s="22" t="s">
        <v>695</v>
      </c>
      <c r="P63" s="22" t="s">
        <v>698</v>
      </c>
      <c r="Q63" s="22" t="s">
        <v>696</v>
      </c>
      <c r="R63" s="22" t="s">
        <v>697</v>
      </c>
      <c r="S63" s="9"/>
      <c r="T63" s="9"/>
      <c r="U63" s="9"/>
      <c r="V63" s="9"/>
      <c r="W63" s="9" t="str">
        <f t="shared" si="0"/>
        <v>20260715</v>
      </c>
      <c r="X63" s="22" t="s">
        <v>1633</v>
      </c>
      <c r="Y63" s="23"/>
      <c r="Z63" s="22">
        <v>1</v>
      </c>
      <c r="AA63" s="22">
        <v>150000</v>
      </c>
      <c r="AB63" s="22">
        <v>150000</v>
      </c>
      <c r="AC63" s="22">
        <v>15000</v>
      </c>
      <c r="AD63" s="9"/>
      <c r="AE63" s="9" t="str">
        <f t="shared" si="1"/>
        <v/>
      </c>
      <c r="AF63" s="23"/>
      <c r="AG63" s="23"/>
      <c r="AH63" s="23"/>
      <c r="AI63" s="23"/>
      <c r="AJ63" s="23"/>
      <c r="AK63" s="23"/>
      <c r="AL63" s="9"/>
      <c r="AM63" s="9" t="str">
        <f t="shared" si="2"/>
        <v/>
      </c>
      <c r="AN63" s="23"/>
      <c r="AO63" s="23"/>
      <c r="AP63" s="23"/>
      <c r="AQ63" s="23"/>
      <c r="AR63" s="23"/>
      <c r="AS63" s="23"/>
      <c r="AT63" s="9"/>
      <c r="AU63" s="9" t="str">
        <f t="shared" si="3"/>
        <v/>
      </c>
      <c r="AV63" s="23"/>
      <c r="AW63" s="23"/>
      <c r="AX63" s="23"/>
      <c r="AY63" s="23"/>
      <c r="AZ63" s="23"/>
      <c r="BA63" s="23"/>
      <c r="BB63" s="9"/>
    </row>
    <row r="64" spans="1:54" ht="54" x14ac:dyDescent="0.3">
      <c r="A64" s="8" t="s">
        <v>65</v>
      </c>
      <c r="B64" s="9" t="s">
        <v>66</v>
      </c>
      <c r="C64" s="22" t="s">
        <v>1618</v>
      </c>
      <c r="D64" s="9">
        <v>20260715</v>
      </c>
      <c r="E64" s="22">
        <v>30000</v>
      </c>
      <c r="F64" s="22">
        <v>3000</v>
      </c>
      <c r="G64" s="9">
        <v>33000</v>
      </c>
      <c r="H64" s="22" t="s">
        <v>126</v>
      </c>
      <c r="I64" s="8"/>
      <c r="J64" s="22" t="s">
        <v>699</v>
      </c>
      <c r="K64" s="22" t="s">
        <v>700</v>
      </c>
      <c r="L64" s="22" t="s">
        <v>701</v>
      </c>
      <c r="M64" s="22" t="s">
        <v>297</v>
      </c>
      <c r="N64" s="22" t="s">
        <v>474</v>
      </c>
      <c r="O64" s="22" t="s">
        <v>702</v>
      </c>
      <c r="P64" s="22" t="s">
        <v>705</v>
      </c>
      <c r="Q64" s="22" t="s">
        <v>703</v>
      </c>
      <c r="R64" s="22" t="s">
        <v>704</v>
      </c>
      <c r="S64" s="9"/>
      <c r="T64" s="9"/>
      <c r="U64" s="9"/>
      <c r="V64" s="9"/>
      <c r="W64" s="9" t="str">
        <f t="shared" si="0"/>
        <v>20260715</v>
      </c>
      <c r="X64" s="22" t="s">
        <v>1624</v>
      </c>
      <c r="Y64" s="23"/>
      <c r="Z64" s="22">
        <v>1</v>
      </c>
      <c r="AA64" s="22">
        <v>30000</v>
      </c>
      <c r="AB64" s="22">
        <v>30000</v>
      </c>
      <c r="AC64" s="22">
        <v>3000</v>
      </c>
      <c r="AD64" s="9"/>
      <c r="AE64" s="9" t="str">
        <f t="shared" si="1"/>
        <v/>
      </c>
      <c r="AF64" s="23"/>
      <c r="AG64" s="23"/>
      <c r="AH64" s="23"/>
      <c r="AI64" s="23"/>
      <c r="AJ64" s="23"/>
      <c r="AK64" s="23"/>
      <c r="AL64" s="9"/>
      <c r="AM64" s="9" t="str">
        <f t="shared" si="2"/>
        <v/>
      </c>
      <c r="AN64" s="23"/>
      <c r="AO64" s="23"/>
      <c r="AP64" s="23"/>
      <c r="AQ64" s="23"/>
      <c r="AR64" s="23"/>
      <c r="AS64" s="23"/>
      <c r="AT64" s="9"/>
      <c r="AU64" s="9" t="str">
        <f t="shared" si="3"/>
        <v/>
      </c>
      <c r="AV64" s="23"/>
      <c r="AW64" s="23"/>
      <c r="AX64" s="23"/>
      <c r="AY64" s="23"/>
      <c r="AZ64" s="23"/>
      <c r="BA64" s="23"/>
      <c r="BB64" s="9"/>
    </row>
    <row r="65" spans="1:54" ht="67.5" x14ac:dyDescent="0.3">
      <c r="A65" s="8" t="s">
        <v>65</v>
      </c>
      <c r="B65" s="9" t="s">
        <v>66</v>
      </c>
      <c r="C65" s="22" t="s">
        <v>1618</v>
      </c>
      <c r="D65" s="9">
        <v>20260715</v>
      </c>
      <c r="E65" s="22">
        <v>1000000</v>
      </c>
      <c r="F65" s="22">
        <v>100000</v>
      </c>
      <c r="G65" s="9">
        <v>1100000</v>
      </c>
      <c r="H65" s="22" t="s">
        <v>127</v>
      </c>
      <c r="I65" s="8"/>
      <c r="J65" s="22" t="s">
        <v>706</v>
      </c>
      <c r="K65" s="22" t="s">
        <v>707</v>
      </c>
      <c r="L65" s="22" t="s">
        <v>708</v>
      </c>
      <c r="M65" s="22" t="s">
        <v>612</v>
      </c>
      <c r="N65" s="22" t="s">
        <v>709</v>
      </c>
      <c r="O65" s="22" t="s">
        <v>710</v>
      </c>
      <c r="P65" s="22" t="s">
        <v>711</v>
      </c>
      <c r="Q65" s="22" t="s">
        <v>322</v>
      </c>
      <c r="R65" s="22" t="s">
        <v>292</v>
      </c>
      <c r="S65" s="9"/>
      <c r="T65" s="9"/>
      <c r="U65" s="9"/>
      <c r="V65" s="9"/>
      <c r="W65" s="9" t="str">
        <f t="shared" si="0"/>
        <v>20260715</v>
      </c>
      <c r="X65" s="22" t="s">
        <v>1649</v>
      </c>
      <c r="Y65" s="23"/>
      <c r="Z65" s="22">
        <v>1</v>
      </c>
      <c r="AA65" s="22">
        <v>500000</v>
      </c>
      <c r="AB65" s="22">
        <v>500000</v>
      </c>
      <c r="AC65" s="22">
        <v>50000</v>
      </c>
      <c r="AD65" s="9"/>
      <c r="AE65" s="9" t="str">
        <f t="shared" si="1"/>
        <v>20260715</v>
      </c>
      <c r="AF65" s="22" t="s">
        <v>1688</v>
      </c>
      <c r="AG65" s="23"/>
      <c r="AH65" s="22">
        <v>1</v>
      </c>
      <c r="AI65" s="22">
        <v>500000</v>
      </c>
      <c r="AJ65" s="22">
        <v>500000</v>
      </c>
      <c r="AK65" s="22">
        <v>50000</v>
      </c>
      <c r="AL65" s="9"/>
      <c r="AM65" s="9" t="str">
        <f t="shared" si="2"/>
        <v/>
      </c>
      <c r="AN65" s="23"/>
      <c r="AO65" s="23"/>
      <c r="AP65" s="23"/>
      <c r="AQ65" s="23"/>
      <c r="AR65" s="23"/>
      <c r="AS65" s="23"/>
      <c r="AT65" s="9"/>
      <c r="AU65" s="9" t="str">
        <f t="shared" si="3"/>
        <v/>
      </c>
      <c r="AV65" s="23"/>
      <c r="AW65" s="23"/>
      <c r="AX65" s="23"/>
      <c r="AY65" s="23"/>
      <c r="AZ65" s="23"/>
      <c r="BA65" s="23"/>
      <c r="BB65" s="9"/>
    </row>
    <row r="66" spans="1:54" ht="67.5" x14ac:dyDescent="0.3">
      <c r="A66" s="8" t="s">
        <v>65</v>
      </c>
      <c r="B66" s="9" t="s">
        <v>66</v>
      </c>
      <c r="C66" s="22" t="s">
        <v>1618</v>
      </c>
      <c r="D66" s="9">
        <v>20260715</v>
      </c>
      <c r="E66" s="22">
        <v>120000</v>
      </c>
      <c r="F66" s="22">
        <v>12000</v>
      </c>
      <c r="G66" s="9">
        <v>132000</v>
      </c>
      <c r="H66" s="22" t="s">
        <v>128</v>
      </c>
      <c r="I66" s="8"/>
      <c r="J66" s="22" t="s">
        <v>712</v>
      </c>
      <c r="K66" s="22" t="s">
        <v>713</v>
      </c>
      <c r="L66" s="22" t="s">
        <v>714</v>
      </c>
      <c r="M66" s="22" t="s">
        <v>452</v>
      </c>
      <c r="N66" s="22" t="s">
        <v>715</v>
      </c>
      <c r="O66" s="22" t="s">
        <v>716</v>
      </c>
      <c r="P66" s="22" t="s">
        <v>719</v>
      </c>
      <c r="Q66" s="22" t="s">
        <v>717</v>
      </c>
      <c r="R66" s="22" t="s">
        <v>718</v>
      </c>
      <c r="S66" s="9"/>
      <c r="T66" s="9"/>
      <c r="U66" s="9"/>
      <c r="V66" s="9"/>
      <c r="W66" s="9" t="str">
        <f t="shared" si="0"/>
        <v>20260715</v>
      </c>
      <c r="X66" s="22" t="s">
        <v>1626</v>
      </c>
      <c r="Y66" s="23"/>
      <c r="Z66" s="22">
        <v>1</v>
      </c>
      <c r="AA66" s="22">
        <v>120000</v>
      </c>
      <c r="AB66" s="22">
        <v>120000</v>
      </c>
      <c r="AC66" s="22">
        <v>12000</v>
      </c>
      <c r="AD66" s="9"/>
      <c r="AE66" s="9" t="str">
        <f t="shared" si="1"/>
        <v/>
      </c>
      <c r="AF66" s="23"/>
      <c r="AG66" s="23"/>
      <c r="AH66" s="23"/>
      <c r="AI66" s="23"/>
      <c r="AJ66" s="23"/>
      <c r="AK66" s="23"/>
      <c r="AL66" s="9"/>
      <c r="AM66" s="9" t="str">
        <f t="shared" si="2"/>
        <v/>
      </c>
      <c r="AN66" s="23"/>
      <c r="AO66" s="23"/>
      <c r="AP66" s="23"/>
      <c r="AQ66" s="23"/>
      <c r="AR66" s="23"/>
      <c r="AS66" s="23"/>
      <c r="AT66" s="9"/>
      <c r="AU66" s="9" t="str">
        <f t="shared" si="3"/>
        <v/>
      </c>
      <c r="AV66" s="23"/>
      <c r="AW66" s="23"/>
      <c r="AX66" s="23"/>
      <c r="AY66" s="23"/>
      <c r="AZ66" s="23"/>
      <c r="BA66" s="23"/>
      <c r="BB66" s="9"/>
    </row>
    <row r="67" spans="1:54" ht="54" x14ac:dyDescent="0.3">
      <c r="A67" s="8" t="s">
        <v>65</v>
      </c>
      <c r="B67" s="9" t="s">
        <v>66</v>
      </c>
      <c r="C67" s="22" t="s">
        <v>1618</v>
      </c>
      <c r="D67" s="9">
        <v>20260715</v>
      </c>
      <c r="E67" s="22">
        <v>138000</v>
      </c>
      <c r="F67" s="22">
        <v>13800</v>
      </c>
      <c r="G67" s="9">
        <v>151800</v>
      </c>
      <c r="H67" s="22" t="s">
        <v>129</v>
      </c>
      <c r="I67" s="8"/>
      <c r="J67" s="22" t="s">
        <v>720</v>
      </c>
      <c r="K67" s="22" t="s">
        <v>721</v>
      </c>
      <c r="L67" s="22" t="s">
        <v>722</v>
      </c>
      <c r="M67" s="22" t="s">
        <v>723</v>
      </c>
      <c r="N67" s="22" t="s">
        <v>724</v>
      </c>
      <c r="O67" s="22" t="s">
        <v>725</v>
      </c>
      <c r="P67" s="22" t="s">
        <v>727</v>
      </c>
      <c r="Q67" s="22" t="s">
        <v>259</v>
      </c>
      <c r="R67" s="22" t="s">
        <v>726</v>
      </c>
      <c r="S67" s="9"/>
      <c r="T67" s="9"/>
      <c r="U67" s="9"/>
      <c r="V67" s="9"/>
      <c r="W67" s="9" t="str">
        <f t="shared" si="0"/>
        <v>20260715</v>
      </c>
      <c r="X67" s="22" t="s">
        <v>1640</v>
      </c>
      <c r="Y67" s="23"/>
      <c r="Z67" s="22">
        <v>1</v>
      </c>
      <c r="AA67" s="22">
        <v>138000</v>
      </c>
      <c r="AB67" s="22">
        <v>138000</v>
      </c>
      <c r="AC67" s="22">
        <v>13800</v>
      </c>
      <c r="AD67" s="9"/>
      <c r="AE67" s="9" t="str">
        <f t="shared" si="1"/>
        <v/>
      </c>
      <c r="AF67" s="23"/>
      <c r="AG67" s="23"/>
      <c r="AH67" s="23"/>
      <c r="AI67" s="23"/>
      <c r="AJ67" s="23"/>
      <c r="AK67" s="23"/>
      <c r="AL67" s="9"/>
      <c r="AM67" s="9" t="str">
        <f t="shared" si="2"/>
        <v/>
      </c>
      <c r="AN67" s="23"/>
      <c r="AO67" s="23"/>
      <c r="AP67" s="23"/>
      <c r="AQ67" s="23"/>
      <c r="AR67" s="23"/>
      <c r="AS67" s="23"/>
      <c r="AT67" s="9"/>
      <c r="AU67" s="9" t="str">
        <f t="shared" si="3"/>
        <v/>
      </c>
      <c r="AV67" s="23"/>
      <c r="AW67" s="23"/>
      <c r="AX67" s="23"/>
      <c r="AY67" s="23"/>
      <c r="AZ67" s="23"/>
      <c r="BA67" s="23"/>
      <c r="BB67" s="9"/>
    </row>
    <row r="68" spans="1:54" ht="54" x14ac:dyDescent="0.3">
      <c r="A68" s="8" t="s">
        <v>65</v>
      </c>
      <c r="B68" s="9" t="s">
        <v>66</v>
      </c>
      <c r="C68" s="22" t="s">
        <v>1618</v>
      </c>
      <c r="D68" s="9">
        <v>20260715</v>
      </c>
      <c r="E68" s="22">
        <v>200000</v>
      </c>
      <c r="F68" s="22">
        <v>20000</v>
      </c>
      <c r="G68" s="9">
        <v>220000</v>
      </c>
      <c r="H68" s="22" t="s">
        <v>130</v>
      </c>
      <c r="I68" s="8"/>
      <c r="J68" s="22" t="s">
        <v>728</v>
      </c>
      <c r="K68" s="22" t="s">
        <v>413</v>
      </c>
      <c r="L68" s="22" t="s">
        <v>729</v>
      </c>
      <c r="M68" s="22" t="s">
        <v>273</v>
      </c>
      <c r="N68" s="22" t="s">
        <v>730</v>
      </c>
      <c r="O68" s="22" t="s">
        <v>417</v>
      </c>
      <c r="P68" s="22" t="s">
        <v>420</v>
      </c>
      <c r="Q68" s="22" t="s">
        <v>418</v>
      </c>
      <c r="R68" s="22" t="s">
        <v>292</v>
      </c>
      <c r="S68" s="9"/>
      <c r="T68" s="9"/>
      <c r="U68" s="9"/>
      <c r="V68" s="9"/>
      <c r="W68" s="9" t="str">
        <f t="shared" si="0"/>
        <v>20260715</v>
      </c>
      <c r="X68" s="22" t="s">
        <v>1624</v>
      </c>
      <c r="Y68" s="23"/>
      <c r="Z68" s="22">
        <v>1</v>
      </c>
      <c r="AA68" s="22">
        <v>200000</v>
      </c>
      <c r="AB68" s="22">
        <v>200000</v>
      </c>
      <c r="AC68" s="22">
        <v>20000</v>
      </c>
      <c r="AD68" s="9"/>
      <c r="AE68" s="9" t="str">
        <f t="shared" si="1"/>
        <v/>
      </c>
      <c r="AF68" s="23"/>
      <c r="AG68" s="23"/>
      <c r="AH68" s="23"/>
      <c r="AI68" s="23"/>
      <c r="AJ68" s="23"/>
      <c r="AK68" s="23"/>
      <c r="AL68" s="9"/>
      <c r="AM68" s="9" t="str">
        <f t="shared" si="2"/>
        <v/>
      </c>
      <c r="AN68" s="23"/>
      <c r="AO68" s="23"/>
      <c r="AP68" s="23"/>
      <c r="AQ68" s="23"/>
      <c r="AR68" s="23"/>
      <c r="AS68" s="23"/>
      <c r="AT68" s="9"/>
      <c r="AU68" s="9" t="str">
        <f t="shared" si="3"/>
        <v/>
      </c>
      <c r="AV68" s="23"/>
      <c r="AW68" s="23"/>
      <c r="AX68" s="23"/>
      <c r="AY68" s="23"/>
      <c r="AZ68" s="23"/>
      <c r="BA68" s="23"/>
      <c r="BB68" s="9"/>
    </row>
    <row r="69" spans="1:54" ht="54" x14ac:dyDescent="0.3">
      <c r="A69" s="8" t="s">
        <v>65</v>
      </c>
      <c r="B69" s="9" t="s">
        <v>66</v>
      </c>
      <c r="C69" s="22" t="s">
        <v>1618</v>
      </c>
      <c r="D69" s="9">
        <v>20260715</v>
      </c>
      <c r="E69" s="22">
        <v>84000</v>
      </c>
      <c r="F69" s="22">
        <v>8400</v>
      </c>
      <c r="G69" s="9">
        <v>92400</v>
      </c>
      <c r="H69" s="22" t="s">
        <v>131</v>
      </c>
      <c r="I69" s="8"/>
      <c r="J69" s="22" t="s">
        <v>731</v>
      </c>
      <c r="K69" s="22" t="s">
        <v>732</v>
      </c>
      <c r="L69" s="22" t="s">
        <v>733</v>
      </c>
      <c r="M69" s="22" t="s">
        <v>734</v>
      </c>
      <c r="N69" s="22" t="s">
        <v>735</v>
      </c>
      <c r="O69" s="22" t="s">
        <v>736</v>
      </c>
      <c r="P69" s="22" t="s">
        <v>737</v>
      </c>
      <c r="Q69" s="22" t="s">
        <v>292</v>
      </c>
      <c r="R69" s="22" t="s">
        <v>292</v>
      </c>
      <c r="S69" s="9"/>
      <c r="T69" s="9"/>
      <c r="U69" s="9"/>
      <c r="V69" s="9"/>
      <c r="W69" s="9" t="str">
        <f t="shared" ref="W69:W132" si="4">IF(X69&lt;&gt;"","20260715","")</f>
        <v>20260715</v>
      </c>
      <c r="X69" s="22" t="s">
        <v>1642</v>
      </c>
      <c r="Y69" s="23"/>
      <c r="Z69" s="22">
        <v>1</v>
      </c>
      <c r="AA69" s="22">
        <v>84000</v>
      </c>
      <c r="AB69" s="22">
        <v>84000</v>
      </c>
      <c r="AC69" s="22">
        <v>8400</v>
      </c>
      <c r="AD69" s="9"/>
      <c r="AE69" s="9" t="str">
        <f t="shared" ref="AE69:AE132" si="5">IF(AF69&lt;&gt;"","20260715","")</f>
        <v/>
      </c>
      <c r="AF69" s="23"/>
      <c r="AG69" s="23"/>
      <c r="AH69" s="23"/>
      <c r="AI69" s="23"/>
      <c r="AJ69" s="23"/>
      <c r="AK69" s="23"/>
      <c r="AL69" s="9"/>
      <c r="AM69" s="9" t="str">
        <f t="shared" ref="AM69:AM132" si="6">IF(AN69&lt;&gt;"","20260715","")</f>
        <v/>
      </c>
      <c r="AN69" s="23"/>
      <c r="AO69" s="23"/>
      <c r="AP69" s="23"/>
      <c r="AQ69" s="23"/>
      <c r="AR69" s="23"/>
      <c r="AS69" s="23"/>
      <c r="AT69" s="9"/>
      <c r="AU69" s="9" t="str">
        <f t="shared" ref="AU69:AU132" si="7">IF(AV69&lt;&gt;"","20260715","")</f>
        <v/>
      </c>
      <c r="AV69" s="23"/>
      <c r="AW69" s="23"/>
      <c r="AX69" s="23"/>
      <c r="AY69" s="23"/>
      <c r="AZ69" s="23"/>
      <c r="BA69" s="23"/>
      <c r="BB69" s="9"/>
    </row>
    <row r="70" spans="1:54" ht="67.5" x14ac:dyDescent="0.3">
      <c r="A70" s="8" t="s">
        <v>65</v>
      </c>
      <c r="B70" s="9" t="s">
        <v>66</v>
      </c>
      <c r="C70" s="22" t="s">
        <v>1618</v>
      </c>
      <c r="D70" s="9">
        <v>20260715</v>
      </c>
      <c r="E70" s="22">
        <v>175000</v>
      </c>
      <c r="F70" s="22">
        <v>17500</v>
      </c>
      <c r="G70" s="9">
        <v>192500</v>
      </c>
      <c r="H70" s="22" t="s">
        <v>132</v>
      </c>
      <c r="I70" s="8"/>
      <c r="J70" s="22" t="s">
        <v>738</v>
      </c>
      <c r="K70" s="22" t="s">
        <v>739</v>
      </c>
      <c r="L70" s="22" t="s">
        <v>740</v>
      </c>
      <c r="M70" s="22" t="s">
        <v>741</v>
      </c>
      <c r="N70" s="22" t="s">
        <v>742</v>
      </c>
      <c r="O70" s="22" t="s">
        <v>743</v>
      </c>
      <c r="P70" s="22" t="s">
        <v>745</v>
      </c>
      <c r="Q70" s="22" t="s">
        <v>259</v>
      </c>
      <c r="R70" s="22" t="s">
        <v>744</v>
      </c>
      <c r="S70" s="9"/>
      <c r="T70" s="9"/>
      <c r="U70" s="9"/>
      <c r="V70" s="9"/>
      <c r="W70" s="9" t="str">
        <f t="shared" si="4"/>
        <v>20260715</v>
      </c>
      <c r="X70" s="22" t="s">
        <v>1624</v>
      </c>
      <c r="Y70" s="23"/>
      <c r="Z70" s="22">
        <v>1</v>
      </c>
      <c r="AA70" s="22">
        <v>175000</v>
      </c>
      <c r="AB70" s="22">
        <v>175000</v>
      </c>
      <c r="AC70" s="22">
        <v>17500</v>
      </c>
      <c r="AD70" s="9"/>
      <c r="AE70" s="9" t="str">
        <f t="shared" si="5"/>
        <v/>
      </c>
      <c r="AF70" s="23"/>
      <c r="AG70" s="23"/>
      <c r="AH70" s="23"/>
      <c r="AI70" s="23"/>
      <c r="AJ70" s="23"/>
      <c r="AK70" s="23"/>
      <c r="AL70" s="9"/>
      <c r="AM70" s="9" t="str">
        <f t="shared" si="6"/>
        <v/>
      </c>
      <c r="AN70" s="23"/>
      <c r="AO70" s="23"/>
      <c r="AP70" s="23"/>
      <c r="AQ70" s="23"/>
      <c r="AR70" s="23"/>
      <c r="AS70" s="23"/>
      <c r="AT70" s="9"/>
      <c r="AU70" s="9" t="str">
        <f t="shared" si="7"/>
        <v/>
      </c>
      <c r="AV70" s="23"/>
      <c r="AW70" s="23"/>
      <c r="AX70" s="23"/>
      <c r="AY70" s="23"/>
      <c r="AZ70" s="23"/>
      <c r="BA70" s="23"/>
      <c r="BB70" s="9"/>
    </row>
    <row r="71" spans="1:54" ht="40.5" x14ac:dyDescent="0.3">
      <c r="A71" s="8" t="s">
        <v>65</v>
      </c>
      <c r="B71" s="9" t="s">
        <v>66</v>
      </c>
      <c r="C71" s="22" t="s">
        <v>1618</v>
      </c>
      <c r="D71" s="9">
        <v>20260715</v>
      </c>
      <c r="E71" s="22">
        <v>30000</v>
      </c>
      <c r="F71" s="22">
        <v>3000</v>
      </c>
      <c r="G71" s="9">
        <v>33000</v>
      </c>
      <c r="H71" s="22" t="s">
        <v>133</v>
      </c>
      <c r="I71" s="8"/>
      <c r="J71" s="22" t="s">
        <v>746</v>
      </c>
      <c r="K71" s="22" t="s">
        <v>747</v>
      </c>
      <c r="L71" s="22" t="s">
        <v>748</v>
      </c>
      <c r="M71" s="22" t="s">
        <v>297</v>
      </c>
      <c r="N71" s="22" t="s">
        <v>749</v>
      </c>
      <c r="O71" s="22" t="s">
        <v>750</v>
      </c>
      <c r="P71" s="22" t="s">
        <v>752</v>
      </c>
      <c r="Q71" s="22" t="s">
        <v>751</v>
      </c>
      <c r="R71" s="22" t="s">
        <v>292</v>
      </c>
      <c r="S71" s="9"/>
      <c r="T71" s="9"/>
      <c r="U71" s="9"/>
      <c r="V71" s="9"/>
      <c r="W71" s="9" t="str">
        <f t="shared" si="4"/>
        <v>20260715</v>
      </c>
      <c r="X71" s="22" t="s">
        <v>1624</v>
      </c>
      <c r="Y71" s="23"/>
      <c r="Z71" s="22">
        <v>1</v>
      </c>
      <c r="AA71" s="22">
        <v>30000</v>
      </c>
      <c r="AB71" s="22">
        <v>30000</v>
      </c>
      <c r="AC71" s="22">
        <v>3000</v>
      </c>
      <c r="AD71" s="9"/>
      <c r="AE71" s="9" t="str">
        <f t="shared" si="5"/>
        <v/>
      </c>
      <c r="AF71" s="23"/>
      <c r="AG71" s="23"/>
      <c r="AH71" s="23"/>
      <c r="AI71" s="23"/>
      <c r="AJ71" s="23"/>
      <c r="AK71" s="23"/>
      <c r="AL71" s="9"/>
      <c r="AM71" s="9" t="str">
        <f t="shared" si="6"/>
        <v/>
      </c>
      <c r="AN71" s="23"/>
      <c r="AO71" s="23"/>
      <c r="AP71" s="23"/>
      <c r="AQ71" s="23"/>
      <c r="AR71" s="23"/>
      <c r="AS71" s="23"/>
      <c r="AT71" s="9"/>
      <c r="AU71" s="9" t="str">
        <f t="shared" si="7"/>
        <v/>
      </c>
      <c r="AV71" s="23"/>
      <c r="AW71" s="23"/>
      <c r="AX71" s="23"/>
      <c r="AY71" s="23"/>
      <c r="AZ71" s="23"/>
      <c r="BA71" s="23"/>
      <c r="BB71" s="9"/>
    </row>
    <row r="72" spans="1:54" ht="67.5" x14ac:dyDescent="0.3">
      <c r="A72" s="8" t="s">
        <v>65</v>
      </c>
      <c r="B72" s="9" t="s">
        <v>66</v>
      </c>
      <c r="C72" s="22" t="s">
        <v>1618</v>
      </c>
      <c r="D72" s="9">
        <v>20260715</v>
      </c>
      <c r="E72" s="22">
        <v>400000</v>
      </c>
      <c r="F72" s="22">
        <v>40000</v>
      </c>
      <c r="G72" s="9">
        <v>440000</v>
      </c>
      <c r="H72" s="22" t="s">
        <v>134</v>
      </c>
      <c r="I72" s="8"/>
      <c r="J72" s="22" t="s">
        <v>753</v>
      </c>
      <c r="K72" s="22" t="s">
        <v>754</v>
      </c>
      <c r="L72" s="22" t="s">
        <v>755</v>
      </c>
      <c r="M72" s="22" t="s">
        <v>756</v>
      </c>
      <c r="N72" s="22" t="s">
        <v>757</v>
      </c>
      <c r="O72" s="22" t="s">
        <v>758</v>
      </c>
      <c r="P72" s="22" t="s">
        <v>760</v>
      </c>
      <c r="Q72" s="22" t="s">
        <v>759</v>
      </c>
      <c r="R72" s="22" t="s">
        <v>292</v>
      </c>
      <c r="S72" s="9"/>
      <c r="T72" s="9"/>
      <c r="U72" s="9"/>
      <c r="V72" s="9"/>
      <c r="W72" s="9" t="str">
        <f t="shared" si="4"/>
        <v>20260715</v>
      </c>
      <c r="X72" s="22" t="s">
        <v>1650</v>
      </c>
      <c r="Y72" s="23"/>
      <c r="Z72" s="22">
        <v>1</v>
      </c>
      <c r="AA72" s="22">
        <v>110000</v>
      </c>
      <c r="AB72" s="22">
        <v>110000</v>
      </c>
      <c r="AC72" s="22">
        <v>11000</v>
      </c>
      <c r="AD72" s="9"/>
      <c r="AE72" s="9" t="str">
        <f t="shared" si="5"/>
        <v>20260715</v>
      </c>
      <c r="AF72" s="22" t="s">
        <v>1690</v>
      </c>
      <c r="AG72" s="23"/>
      <c r="AH72" s="22">
        <v>1</v>
      </c>
      <c r="AI72" s="22">
        <v>290000</v>
      </c>
      <c r="AJ72" s="22">
        <v>290000</v>
      </c>
      <c r="AK72" s="22">
        <v>29000</v>
      </c>
      <c r="AL72" s="9"/>
      <c r="AM72" s="9" t="str">
        <f t="shared" si="6"/>
        <v/>
      </c>
      <c r="AN72" s="23"/>
      <c r="AO72" s="23"/>
      <c r="AP72" s="23"/>
      <c r="AQ72" s="23"/>
      <c r="AR72" s="23"/>
      <c r="AS72" s="23"/>
      <c r="AT72" s="9"/>
      <c r="AU72" s="9" t="str">
        <f t="shared" si="7"/>
        <v/>
      </c>
      <c r="AV72" s="23"/>
      <c r="AW72" s="23"/>
      <c r="AX72" s="23"/>
      <c r="AY72" s="23"/>
      <c r="AZ72" s="23"/>
      <c r="BA72" s="23"/>
      <c r="BB72" s="9"/>
    </row>
    <row r="73" spans="1:54" ht="67.5" x14ac:dyDescent="0.3">
      <c r="A73" s="8" t="s">
        <v>65</v>
      </c>
      <c r="B73" s="9" t="s">
        <v>66</v>
      </c>
      <c r="C73" s="22" t="s">
        <v>1618</v>
      </c>
      <c r="D73" s="9">
        <v>20260715</v>
      </c>
      <c r="E73" s="22">
        <v>800000</v>
      </c>
      <c r="F73" s="22">
        <v>80000</v>
      </c>
      <c r="G73" s="9">
        <v>880000</v>
      </c>
      <c r="H73" s="22" t="s">
        <v>135</v>
      </c>
      <c r="I73" s="8"/>
      <c r="J73" s="22" t="s">
        <v>761</v>
      </c>
      <c r="K73" s="22" t="s">
        <v>762</v>
      </c>
      <c r="L73" s="22" t="s">
        <v>763</v>
      </c>
      <c r="M73" s="22" t="s">
        <v>661</v>
      </c>
      <c r="N73" s="22" t="s">
        <v>764</v>
      </c>
      <c r="O73" s="22" t="s">
        <v>765</v>
      </c>
      <c r="P73" s="22" t="s">
        <v>768</v>
      </c>
      <c r="Q73" s="22" t="s">
        <v>766</v>
      </c>
      <c r="R73" s="22" t="s">
        <v>767</v>
      </c>
      <c r="S73" s="9"/>
      <c r="T73" s="9"/>
      <c r="U73" s="9"/>
      <c r="V73" s="9"/>
      <c r="W73" s="9" t="str">
        <f t="shared" si="4"/>
        <v>20260715</v>
      </c>
      <c r="X73" s="22" t="s">
        <v>1651</v>
      </c>
      <c r="Y73" s="23"/>
      <c r="Z73" s="22">
        <v>1</v>
      </c>
      <c r="AA73" s="22">
        <v>700000</v>
      </c>
      <c r="AB73" s="22">
        <v>700000</v>
      </c>
      <c r="AC73" s="22">
        <v>70000</v>
      </c>
      <c r="AD73" s="9"/>
      <c r="AE73" s="9" t="str">
        <f t="shared" si="5"/>
        <v>20260715</v>
      </c>
      <c r="AF73" s="22" t="s">
        <v>1691</v>
      </c>
      <c r="AG73" s="23"/>
      <c r="AH73" s="22">
        <v>1</v>
      </c>
      <c r="AI73" s="22">
        <v>100000</v>
      </c>
      <c r="AJ73" s="22">
        <v>100000</v>
      </c>
      <c r="AK73" s="22">
        <v>10000</v>
      </c>
      <c r="AL73" s="9"/>
      <c r="AM73" s="9" t="str">
        <f t="shared" si="6"/>
        <v/>
      </c>
      <c r="AN73" s="23"/>
      <c r="AO73" s="23"/>
      <c r="AP73" s="23"/>
      <c r="AQ73" s="23"/>
      <c r="AR73" s="23"/>
      <c r="AS73" s="23"/>
      <c r="AT73" s="9"/>
      <c r="AU73" s="9" t="str">
        <f t="shared" si="7"/>
        <v/>
      </c>
      <c r="AV73" s="23"/>
      <c r="AW73" s="23"/>
      <c r="AX73" s="23"/>
      <c r="AY73" s="23"/>
      <c r="AZ73" s="23"/>
      <c r="BA73" s="23"/>
      <c r="BB73" s="9"/>
    </row>
    <row r="74" spans="1:54" ht="81" x14ac:dyDescent="0.3">
      <c r="A74" s="8" t="s">
        <v>65</v>
      </c>
      <c r="B74" s="9" t="s">
        <v>66</v>
      </c>
      <c r="C74" s="22" t="s">
        <v>1618</v>
      </c>
      <c r="D74" s="9">
        <v>20260715</v>
      </c>
      <c r="E74" s="22">
        <v>180000</v>
      </c>
      <c r="F74" s="22">
        <v>18000</v>
      </c>
      <c r="G74" s="9">
        <v>198000</v>
      </c>
      <c r="H74" s="22" t="s">
        <v>136</v>
      </c>
      <c r="I74" s="8"/>
      <c r="J74" s="22" t="s">
        <v>769</v>
      </c>
      <c r="K74" s="22" t="s">
        <v>770</v>
      </c>
      <c r="L74" s="22" t="s">
        <v>771</v>
      </c>
      <c r="M74" s="22" t="s">
        <v>273</v>
      </c>
      <c r="N74" s="22" t="s">
        <v>772</v>
      </c>
      <c r="O74" s="22" t="s">
        <v>773</v>
      </c>
      <c r="P74" s="22" t="s">
        <v>776</v>
      </c>
      <c r="Q74" s="22" t="s">
        <v>774</v>
      </c>
      <c r="R74" s="22" t="s">
        <v>775</v>
      </c>
      <c r="S74" s="9"/>
      <c r="T74" s="9"/>
      <c r="U74" s="9"/>
      <c r="V74" s="9"/>
      <c r="W74" s="9" t="str">
        <f t="shared" si="4"/>
        <v>20260715</v>
      </c>
      <c r="X74" s="22" t="s">
        <v>1621</v>
      </c>
      <c r="Y74" s="23"/>
      <c r="Z74" s="22">
        <v>1</v>
      </c>
      <c r="AA74" s="22">
        <v>180000</v>
      </c>
      <c r="AB74" s="22">
        <v>180000</v>
      </c>
      <c r="AC74" s="22">
        <v>18000</v>
      </c>
      <c r="AD74" s="9"/>
      <c r="AE74" s="9" t="str">
        <f t="shared" si="5"/>
        <v/>
      </c>
      <c r="AF74" s="23"/>
      <c r="AG74" s="23"/>
      <c r="AH74" s="23"/>
      <c r="AI74" s="23"/>
      <c r="AJ74" s="23"/>
      <c r="AK74" s="23"/>
      <c r="AL74" s="9"/>
      <c r="AM74" s="9" t="str">
        <f t="shared" si="6"/>
        <v/>
      </c>
      <c r="AN74" s="23"/>
      <c r="AO74" s="23"/>
      <c r="AP74" s="23"/>
      <c r="AQ74" s="23"/>
      <c r="AR74" s="23"/>
      <c r="AS74" s="23"/>
      <c r="AT74" s="9"/>
      <c r="AU74" s="9" t="str">
        <f t="shared" si="7"/>
        <v/>
      </c>
      <c r="AV74" s="23"/>
      <c r="AW74" s="23"/>
      <c r="AX74" s="23"/>
      <c r="AY74" s="23"/>
      <c r="AZ74" s="23"/>
      <c r="BA74" s="23"/>
      <c r="BB74" s="9"/>
    </row>
    <row r="75" spans="1:54" ht="54" x14ac:dyDescent="0.3">
      <c r="A75" s="8" t="s">
        <v>65</v>
      </c>
      <c r="B75" s="9" t="s">
        <v>66</v>
      </c>
      <c r="C75" s="22" t="s">
        <v>1618</v>
      </c>
      <c r="D75" s="9">
        <v>20260715</v>
      </c>
      <c r="E75" s="22">
        <v>294000</v>
      </c>
      <c r="F75" s="22">
        <v>29400</v>
      </c>
      <c r="G75" s="9">
        <v>323400</v>
      </c>
      <c r="H75" s="22" t="s">
        <v>137</v>
      </c>
      <c r="I75" s="8"/>
      <c r="J75" s="22" t="s">
        <v>777</v>
      </c>
      <c r="K75" s="22" t="s">
        <v>778</v>
      </c>
      <c r="L75" s="22" t="s">
        <v>779</v>
      </c>
      <c r="M75" s="22" t="s">
        <v>780</v>
      </c>
      <c r="N75" s="22" t="s">
        <v>781</v>
      </c>
      <c r="O75" s="22" t="s">
        <v>782</v>
      </c>
      <c r="P75" s="22" t="s">
        <v>784</v>
      </c>
      <c r="Q75" s="22" t="s">
        <v>783</v>
      </c>
      <c r="R75" s="22" t="s">
        <v>292</v>
      </c>
      <c r="S75" s="9"/>
      <c r="T75" s="9"/>
      <c r="U75" s="9"/>
      <c r="V75" s="9"/>
      <c r="W75" s="9" t="str">
        <f t="shared" si="4"/>
        <v>20260715</v>
      </c>
      <c r="X75" s="22" t="s">
        <v>1621</v>
      </c>
      <c r="Y75" s="23"/>
      <c r="Z75" s="22">
        <v>1</v>
      </c>
      <c r="AA75" s="22">
        <v>230000</v>
      </c>
      <c r="AB75" s="22">
        <v>230000</v>
      </c>
      <c r="AC75" s="22">
        <v>23000</v>
      </c>
      <c r="AD75" s="9"/>
      <c r="AE75" s="9" t="str">
        <f t="shared" si="5"/>
        <v>20260715</v>
      </c>
      <c r="AF75" s="22" t="s">
        <v>1626</v>
      </c>
      <c r="AG75" s="23"/>
      <c r="AH75" s="22">
        <v>1</v>
      </c>
      <c r="AI75" s="22">
        <v>64000</v>
      </c>
      <c r="AJ75" s="22">
        <v>64000</v>
      </c>
      <c r="AK75" s="22">
        <v>6400</v>
      </c>
      <c r="AL75" s="9"/>
      <c r="AM75" s="9" t="str">
        <f t="shared" si="6"/>
        <v/>
      </c>
      <c r="AN75" s="23"/>
      <c r="AO75" s="23"/>
      <c r="AP75" s="23"/>
      <c r="AQ75" s="23"/>
      <c r="AR75" s="23"/>
      <c r="AS75" s="23"/>
      <c r="AT75" s="9"/>
      <c r="AU75" s="9" t="str">
        <f t="shared" si="7"/>
        <v/>
      </c>
      <c r="AV75" s="23"/>
      <c r="AW75" s="23"/>
      <c r="AX75" s="23"/>
      <c r="AY75" s="23"/>
      <c r="AZ75" s="23"/>
      <c r="BA75" s="23"/>
      <c r="BB75" s="9"/>
    </row>
    <row r="76" spans="1:54" ht="67.5" x14ac:dyDescent="0.3">
      <c r="A76" s="8" t="s">
        <v>65</v>
      </c>
      <c r="B76" s="9" t="s">
        <v>66</v>
      </c>
      <c r="C76" s="22" t="s">
        <v>1618</v>
      </c>
      <c r="D76" s="9">
        <v>20260715</v>
      </c>
      <c r="E76" s="22">
        <v>1900000</v>
      </c>
      <c r="F76" s="22">
        <v>190000</v>
      </c>
      <c r="G76" s="9">
        <v>2090000</v>
      </c>
      <c r="H76" s="22" t="s">
        <v>138</v>
      </c>
      <c r="I76" s="8"/>
      <c r="J76" s="22" t="s">
        <v>785</v>
      </c>
      <c r="K76" s="22" t="s">
        <v>786</v>
      </c>
      <c r="L76" s="22" t="s">
        <v>787</v>
      </c>
      <c r="M76" s="22" t="s">
        <v>452</v>
      </c>
      <c r="N76" s="22" t="s">
        <v>788</v>
      </c>
      <c r="O76" s="22" t="s">
        <v>789</v>
      </c>
      <c r="P76" s="22" t="s">
        <v>792</v>
      </c>
      <c r="Q76" s="22" t="s">
        <v>790</v>
      </c>
      <c r="R76" s="22" t="s">
        <v>791</v>
      </c>
      <c r="S76" s="9"/>
      <c r="T76" s="9"/>
      <c r="U76" s="9"/>
      <c r="V76" s="9"/>
      <c r="W76" s="9" t="str">
        <f t="shared" si="4"/>
        <v>20260715</v>
      </c>
      <c r="X76" s="22" t="s">
        <v>1652</v>
      </c>
      <c r="Y76" s="23"/>
      <c r="Z76" s="22">
        <v>1</v>
      </c>
      <c r="AA76" s="22">
        <v>400000</v>
      </c>
      <c r="AB76" s="22">
        <v>400000</v>
      </c>
      <c r="AC76" s="22">
        <v>40000</v>
      </c>
      <c r="AD76" s="9"/>
      <c r="AE76" s="9" t="str">
        <f t="shared" si="5"/>
        <v>20260715</v>
      </c>
      <c r="AF76" s="22" t="s">
        <v>1651</v>
      </c>
      <c r="AG76" s="23"/>
      <c r="AH76" s="22">
        <v>1</v>
      </c>
      <c r="AI76" s="22">
        <v>1500000</v>
      </c>
      <c r="AJ76" s="22">
        <v>1500000</v>
      </c>
      <c r="AK76" s="22">
        <v>150000</v>
      </c>
      <c r="AL76" s="9"/>
      <c r="AM76" s="9" t="str">
        <f t="shared" si="6"/>
        <v/>
      </c>
      <c r="AN76" s="23"/>
      <c r="AO76" s="23"/>
      <c r="AP76" s="23"/>
      <c r="AQ76" s="23"/>
      <c r="AR76" s="23"/>
      <c r="AS76" s="23"/>
      <c r="AT76" s="9"/>
      <c r="AU76" s="9" t="str">
        <f t="shared" si="7"/>
        <v/>
      </c>
      <c r="AV76" s="23"/>
      <c r="AW76" s="23"/>
      <c r="AX76" s="23"/>
      <c r="AY76" s="23"/>
      <c r="AZ76" s="23"/>
      <c r="BA76" s="23"/>
      <c r="BB76" s="9"/>
    </row>
    <row r="77" spans="1:54" ht="67.5" x14ac:dyDescent="0.3">
      <c r="A77" s="8" t="s">
        <v>65</v>
      </c>
      <c r="B77" s="9" t="s">
        <v>66</v>
      </c>
      <c r="C77" s="22" t="s">
        <v>1618</v>
      </c>
      <c r="D77" s="9">
        <v>20260715</v>
      </c>
      <c r="E77" s="22">
        <v>2270000</v>
      </c>
      <c r="F77" s="22">
        <v>227000</v>
      </c>
      <c r="G77" s="9">
        <v>2497000</v>
      </c>
      <c r="H77" s="22" t="s">
        <v>139</v>
      </c>
      <c r="I77" s="8"/>
      <c r="J77" s="22" t="s">
        <v>793</v>
      </c>
      <c r="K77" s="22" t="s">
        <v>794</v>
      </c>
      <c r="L77" s="22" t="s">
        <v>795</v>
      </c>
      <c r="M77" s="22" t="s">
        <v>796</v>
      </c>
      <c r="N77" s="22" t="s">
        <v>797</v>
      </c>
      <c r="O77" s="22" t="s">
        <v>798</v>
      </c>
      <c r="P77" s="22" t="s">
        <v>800</v>
      </c>
      <c r="Q77" s="22" t="s">
        <v>799</v>
      </c>
      <c r="R77" s="22" t="s">
        <v>292</v>
      </c>
      <c r="S77" s="9"/>
      <c r="T77" s="9"/>
      <c r="U77" s="9"/>
      <c r="V77" s="9"/>
      <c r="W77" s="9" t="str">
        <f t="shared" si="4"/>
        <v>20260715</v>
      </c>
      <c r="X77" s="22" t="s">
        <v>1620</v>
      </c>
      <c r="Y77" s="23"/>
      <c r="Z77" s="22">
        <v>1</v>
      </c>
      <c r="AA77" s="22">
        <v>2270000</v>
      </c>
      <c r="AB77" s="22">
        <v>2270000</v>
      </c>
      <c r="AC77" s="22">
        <v>227000</v>
      </c>
      <c r="AD77" s="9"/>
      <c r="AE77" s="9" t="str">
        <f t="shared" si="5"/>
        <v/>
      </c>
      <c r="AF77" s="23"/>
      <c r="AG77" s="23"/>
      <c r="AH77" s="23"/>
      <c r="AI77" s="23"/>
      <c r="AJ77" s="23"/>
      <c r="AK77" s="23"/>
      <c r="AL77" s="9"/>
      <c r="AM77" s="9" t="str">
        <f t="shared" si="6"/>
        <v/>
      </c>
      <c r="AN77" s="23"/>
      <c r="AO77" s="23"/>
      <c r="AP77" s="23"/>
      <c r="AQ77" s="23"/>
      <c r="AR77" s="23"/>
      <c r="AS77" s="23"/>
      <c r="AT77" s="9"/>
      <c r="AU77" s="9" t="str">
        <f t="shared" si="7"/>
        <v/>
      </c>
      <c r="AV77" s="23"/>
      <c r="AW77" s="23"/>
      <c r="AX77" s="23"/>
      <c r="AY77" s="23"/>
      <c r="AZ77" s="23"/>
      <c r="BA77" s="23"/>
      <c r="BB77" s="9"/>
    </row>
    <row r="78" spans="1:54" ht="67.5" x14ac:dyDescent="0.3">
      <c r="A78" s="8" t="s">
        <v>65</v>
      </c>
      <c r="B78" s="9" t="s">
        <v>66</v>
      </c>
      <c r="C78" s="22" t="s">
        <v>1618</v>
      </c>
      <c r="D78" s="9">
        <v>20260715</v>
      </c>
      <c r="E78" s="22">
        <v>100000</v>
      </c>
      <c r="F78" s="22">
        <v>10000</v>
      </c>
      <c r="G78" s="9">
        <v>110000</v>
      </c>
      <c r="H78" s="22" t="s">
        <v>140</v>
      </c>
      <c r="I78" s="8"/>
      <c r="J78" s="22" t="s">
        <v>801</v>
      </c>
      <c r="K78" s="22" t="s">
        <v>802</v>
      </c>
      <c r="L78" s="22" t="s">
        <v>803</v>
      </c>
      <c r="M78" s="22" t="s">
        <v>723</v>
      </c>
      <c r="N78" s="22" t="s">
        <v>804</v>
      </c>
      <c r="O78" s="22" t="s">
        <v>802</v>
      </c>
      <c r="P78" s="22" t="s">
        <v>806</v>
      </c>
      <c r="Q78" s="22" t="s">
        <v>322</v>
      </c>
      <c r="R78" s="22" t="s">
        <v>805</v>
      </c>
      <c r="S78" s="9"/>
      <c r="T78" s="9"/>
      <c r="U78" s="9"/>
      <c r="V78" s="9"/>
      <c r="W78" s="9" t="str">
        <f t="shared" si="4"/>
        <v>20260715</v>
      </c>
      <c r="X78" s="22" t="s">
        <v>1626</v>
      </c>
      <c r="Y78" s="23"/>
      <c r="Z78" s="22">
        <v>1</v>
      </c>
      <c r="AA78" s="22">
        <v>100000</v>
      </c>
      <c r="AB78" s="22">
        <v>100000</v>
      </c>
      <c r="AC78" s="22">
        <v>10000</v>
      </c>
      <c r="AD78" s="9"/>
      <c r="AE78" s="9" t="str">
        <f t="shared" si="5"/>
        <v/>
      </c>
      <c r="AF78" s="23"/>
      <c r="AG78" s="23"/>
      <c r="AH78" s="23"/>
      <c r="AI78" s="23"/>
      <c r="AJ78" s="23"/>
      <c r="AK78" s="23"/>
      <c r="AL78" s="9"/>
      <c r="AM78" s="9" t="str">
        <f t="shared" si="6"/>
        <v/>
      </c>
      <c r="AN78" s="23"/>
      <c r="AO78" s="23"/>
      <c r="AP78" s="23"/>
      <c r="AQ78" s="23"/>
      <c r="AR78" s="23"/>
      <c r="AS78" s="23"/>
      <c r="AT78" s="9"/>
      <c r="AU78" s="9" t="str">
        <f t="shared" si="7"/>
        <v/>
      </c>
      <c r="AV78" s="23"/>
      <c r="AW78" s="23"/>
      <c r="AX78" s="23"/>
      <c r="AY78" s="23"/>
      <c r="AZ78" s="23"/>
      <c r="BA78" s="23"/>
      <c r="BB78" s="9"/>
    </row>
    <row r="79" spans="1:54" ht="54" x14ac:dyDescent="0.3">
      <c r="A79" s="8" t="s">
        <v>65</v>
      </c>
      <c r="B79" s="9" t="s">
        <v>66</v>
      </c>
      <c r="C79" s="22" t="s">
        <v>1618</v>
      </c>
      <c r="D79" s="9">
        <v>20260715</v>
      </c>
      <c r="E79" s="22">
        <v>110000</v>
      </c>
      <c r="F79" s="22">
        <v>11000</v>
      </c>
      <c r="G79" s="9">
        <v>121000</v>
      </c>
      <c r="H79" s="22" t="s">
        <v>141</v>
      </c>
      <c r="I79" s="8"/>
      <c r="J79" s="22" t="s">
        <v>807</v>
      </c>
      <c r="K79" s="22" t="s">
        <v>808</v>
      </c>
      <c r="L79" s="22" t="s">
        <v>809</v>
      </c>
      <c r="M79" s="22" t="s">
        <v>810</v>
      </c>
      <c r="N79" s="22" t="s">
        <v>811</v>
      </c>
      <c r="O79" s="22" t="s">
        <v>808</v>
      </c>
      <c r="P79" s="22" t="s">
        <v>814</v>
      </c>
      <c r="Q79" s="22" t="s">
        <v>812</v>
      </c>
      <c r="R79" s="22" t="s">
        <v>813</v>
      </c>
      <c r="S79" s="9"/>
      <c r="T79" s="9"/>
      <c r="U79" s="9"/>
      <c r="V79" s="9"/>
      <c r="W79" s="9" t="str">
        <f t="shared" si="4"/>
        <v>20260715</v>
      </c>
      <c r="X79" s="22" t="s">
        <v>1629</v>
      </c>
      <c r="Y79" s="23"/>
      <c r="Z79" s="22">
        <v>1</v>
      </c>
      <c r="AA79" s="22">
        <v>110000</v>
      </c>
      <c r="AB79" s="22">
        <v>110000</v>
      </c>
      <c r="AC79" s="22">
        <v>11000</v>
      </c>
      <c r="AD79" s="9"/>
      <c r="AE79" s="9" t="str">
        <f t="shared" si="5"/>
        <v/>
      </c>
      <c r="AF79" s="23"/>
      <c r="AG79" s="23"/>
      <c r="AH79" s="23"/>
      <c r="AI79" s="23"/>
      <c r="AJ79" s="23"/>
      <c r="AK79" s="23"/>
      <c r="AL79" s="9"/>
      <c r="AM79" s="9" t="str">
        <f t="shared" si="6"/>
        <v/>
      </c>
      <c r="AN79" s="23"/>
      <c r="AO79" s="23"/>
      <c r="AP79" s="23"/>
      <c r="AQ79" s="23"/>
      <c r="AR79" s="23"/>
      <c r="AS79" s="23"/>
      <c r="AT79" s="9"/>
      <c r="AU79" s="9" t="str">
        <f t="shared" si="7"/>
        <v/>
      </c>
      <c r="AV79" s="23"/>
      <c r="AW79" s="23"/>
      <c r="AX79" s="23"/>
      <c r="AY79" s="23"/>
      <c r="AZ79" s="23"/>
      <c r="BA79" s="23"/>
      <c r="BB79" s="9"/>
    </row>
    <row r="80" spans="1:54" ht="67.5" x14ac:dyDescent="0.3">
      <c r="A80" s="8" t="s">
        <v>65</v>
      </c>
      <c r="B80" s="9" t="s">
        <v>66</v>
      </c>
      <c r="C80" s="22" t="s">
        <v>1618</v>
      </c>
      <c r="D80" s="9">
        <v>20260715</v>
      </c>
      <c r="E80" s="22">
        <v>150000</v>
      </c>
      <c r="F80" s="22">
        <v>15000</v>
      </c>
      <c r="G80" s="9">
        <v>165000</v>
      </c>
      <c r="H80" s="22" t="s">
        <v>142</v>
      </c>
      <c r="I80" s="8"/>
      <c r="J80" s="22" t="s">
        <v>815</v>
      </c>
      <c r="K80" s="22" t="s">
        <v>816</v>
      </c>
      <c r="L80" s="22" t="s">
        <v>817</v>
      </c>
      <c r="M80" s="22" t="s">
        <v>818</v>
      </c>
      <c r="N80" s="22" t="s">
        <v>819</v>
      </c>
      <c r="O80" s="22" t="s">
        <v>820</v>
      </c>
      <c r="P80" s="22" t="s">
        <v>823</v>
      </c>
      <c r="Q80" s="22" t="s">
        <v>821</v>
      </c>
      <c r="R80" s="22" t="s">
        <v>822</v>
      </c>
      <c r="S80" s="9"/>
      <c r="T80" s="9"/>
      <c r="U80" s="9"/>
      <c r="V80" s="9"/>
      <c r="W80" s="9" t="str">
        <f t="shared" si="4"/>
        <v>20260715</v>
      </c>
      <c r="X80" s="22" t="s">
        <v>1629</v>
      </c>
      <c r="Y80" s="23"/>
      <c r="Z80" s="22">
        <v>1</v>
      </c>
      <c r="AA80" s="22">
        <v>150000</v>
      </c>
      <c r="AB80" s="22">
        <v>150000</v>
      </c>
      <c r="AC80" s="22">
        <v>15000</v>
      </c>
      <c r="AD80" s="9"/>
      <c r="AE80" s="9" t="str">
        <f t="shared" si="5"/>
        <v/>
      </c>
      <c r="AF80" s="23"/>
      <c r="AG80" s="23"/>
      <c r="AH80" s="23"/>
      <c r="AI80" s="23"/>
      <c r="AJ80" s="23"/>
      <c r="AK80" s="23"/>
      <c r="AL80" s="9"/>
      <c r="AM80" s="9" t="str">
        <f t="shared" si="6"/>
        <v/>
      </c>
      <c r="AN80" s="23"/>
      <c r="AO80" s="23"/>
      <c r="AP80" s="23"/>
      <c r="AQ80" s="23"/>
      <c r="AR80" s="23"/>
      <c r="AS80" s="23"/>
      <c r="AT80" s="9"/>
      <c r="AU80" s="9" t="str">
        <f t="shared" si="7"/>
        <v/>
      </c>
      <c r="AV80" s="23"/>
      <c r="AW80" s="23"/>
      <c r="AX80" s="23"/>
      <c r="AY80" s="23"/>
      <c r="AZ80" s="23"/>
      <c r="BA80" s="23"/>
      <c r="BB80" s="9"/>
    </row>
    <row r="81" spans="1:54" ht="40.5" x14ac:dyDescent="0.3">
      <c r="A81" s="8" t="s">
        <v>65</v>
      </c>
      <c r="B81" s="9" t="s">
        <v>66</v>
      </c>
      <c r="C81" s="22" t="s">
        <v>1618</v>
      </c>
      <c r="D81" s="9">
        <v>20260715</v>
      </c>
      <c r="E81" s="22">
        <v>250000</v>
      </c>
      <c r="F81" s="22">
        <v>25000</v>
      </c>
      <c r="G81" s="9">
        <v>275000</v>
      </c>
      <c r="H81" s="22" t="s">
        <v>143</v>
      </c>
      <c r="I81" s="8"/>
      <c r="J81" s="22" t="s">
        <v>824</v>
      </c>
      <c r="K81" s="22" t="s">
        <v>668</v>
      </c>
      <c r="L81" s="22" t="s">
        <v>825</v>
      </c>
      <c r="M81" s="22" t="s">
        <v>826</v>
      </c>
      <c r="N81" s="22" t="s">
        <v>827</v>
      </c>
      <c r="O81" s="22" t="s">
        <v>291</v>
      </c>
      <c r="P81" s="22" t="s">
        <v>829</v>
      </c>
      <c r="Q81" s="22" t="s">
        <v>828</v>
      </c>
      <c r="R81" s="22" t="s">
        <v>292</v>
      </c>
      <c r="S81" s="9"/>
      <c r="T81" s="9"/>
      <c r="U81" s="9"/>
      <c r="V81" s="9"/>
      <c r="W81" s="9" t="str">
        <f t="shared" si="4"/>
        <v>20260715</v>
      </c>
      <c r="X81" s="22" t="s">
        <v>1621</v>
      </c>
      <c r="Y81" s="23"/>
      <c r="Z81" s="22">
        <v>1</v>
      </c>
      <c r="AA81" s="22">
        <v>250000</v>
      </c>
      <c r="AB81" s="22">
        <v>250000</v>
      </c>
      <c r="AC81" s="22">
        <v>25000</v>
      </c>
      <c r="AD81" s="9"/>
      <c r="AE81" s="9" t="str">
        <f t="shared" si="5"/>
        <v/>
      </c>
      <c r="AF81" s="23"/>
      <c r="AG81" s="23"/>
      <c r="AH81" s="23"/>
      <c r="AI81" s="23"/>
      <c r="AJ81" s="23"/>
      <c r="AK81" s="23"/>
      <c r="AL81" s="9"/>
      <c r="AM81" s="9" t="str">
        <f t="shared" si="6"/>
        <v/>
      </c>
      <c r="AN81" s="23"/>
      <c r="AO81" s="23"/>
      <c r="AP81" s="23"/>
      <c r="AQ81" s="23"/>
      <c r="AR81" s="23"/>
      <c r="AS81" s="23"/>
      <c r="AT81" s="9"/>
      <c r="AU81" s="9" t="str">
        <f t="shared" si="7"/>
        <v/>
      </c>
      <c r="AV81" s="23"/>
      <c r="AW81" s="23"/>
      <c r="AX81" s="23"/>
      <c r="AY81" s="23"/>
      <c r="AZ81" s="23"/>
      <c r="BA81" s="23"/>
      <c r="BB81" s="9"/>
    </row>
    <row r="82" spans="1:54" ht="40.5" x14ac:dyDescent="0.3">
      <c r="A82" s="8" t="s">
        <v>65</v>
      </c>
      <c r="B82" s="9" t="s">
        <v>66</v>
      </c>
      <c r="C82" s="22" t="s">
        <v>1618</v>
      </c>
      <c r="D82" s="9">
        <v>20260715</v>
      </c>
      <c r="E82" s="22">
        <v>1880000</v>
      </c>
      <c r="F82" s="22">
        <v>188000</v>
      </c>
      <c r="G82" s="9">
        <v>2068000</v>
      </c>
      <c r="H82" s="22" t="s">
        <v>144</v>
      </c>
      <c r="I82" s="8"/>
      <c r="J82" s="22" t="s">
        <v>830</v>
      </c>
      <c r="K82" s="22" t="s">
        <v>831</v>
      </c>
      <c r="L82" s="22" t="s">
        <v>832</v>
      </c>
      <c r="M82" s="22" t="s">
        <v>833</v>
      </c>
      <c r="N82" s="22" t="s">
        <v>834</v>
      </c>
      <c r="O82" s="22" t="s">
        <v>835</v>
      </c>
      <c r="P82" s="22" t="s">
        <v>837</v>
      </c>
      <c r="Q82" s="22" t="s">
        <v>836</v>
      </c>
      <c r="R82" s="22" t="s">
        <v>292</v>
      </c>
      <c r="S82" s="9"/>
      <c r="T82" s="9"/>
      <c r="U82" s="9"/>
      <c r="V82" s="9"/>
      <c r="W82" s="9" t="str">
        <f t="shared" si="4"/>
        <v>20260715</v>
      </c>
      <c r="X82" s="22" t="s">
        <v>1653</v>
      </c>
      <c r="Y82" s="23"/>
      <c r="Z82" s="22">
        <v>1</v>
      </c>
      <c r="AA82" s="22">
        <v>1300000</v>
      </c>
      <c r="AB82" s="22">
        <v>1300000</v>
      </c>
      <c r="AC82" s="22">
        <v>130000</v>
      </c>
      <c r="AD82" s="9"/>
      <c r="AE82" s="9" t="str">
        <f t="shared" si="5"/>
        <v>20260715</v>
      </c>
      <c r="AF82" s="22" t="s">
        <v>1692</v>
      </c>
      <c r="AG82" s="23"/>
      <c r="AH82" s="22">
        <v>1</v>
      </c>
      <c r="AI82" s="22">
        <v>580000</v>
      </c>
      <c r="AJ82" s="22">
        <v>580000</v>
      </c>
      <c r="AK82" s="22">
        <v>58000</v>
      </c>
      <c r="AL82" s="9"/>
      <c r="AM82" s="9" t="str">
        <f t="shared" si="6"/>
        <v/>
      </c>
      <c r="AN82" s="23"/>
      <c r="AO82" s="23"/>
      <c r="AP82" s="23"/>
      <c r="AQ82" s="23"/>
      <c r="AR82" s="23"/>
      <c r="AS82" s="23"/>
      <c r="AT82" s="9"/>
      <c r="AU82" s="9" t="str">
        <f t="shared" si="7"/>
        <v/>
      </c>
      <c r="AV82" s="23"/>
      <c r="AW82" s="23"/>
      <c r="AX82" s="23"/>
      <c r="AY82" s="23"/>
      <c r="AZ82" s="23"/>
      <c r="BA82" s="23"/>
      <c r="BB82" s="9"/>
    </row>
    <row r="83" spans="1:54" ht="54" x14ac:dyDescent="0.3">
      <c r="A83" s="8" t="s">
        <v>65</v>
      </c>
      <c r="B83" s="9" t="s">
        <v>66</v>
      </c>
      <c r="C83" s="22" t="s">
        <v>1618</v>
      </c>
      <c r="D83" s="9">
        <v>20260715</v>
      </c>
      <c r="E83" s="22">
        <v>88000</v>
      </c>
      <c r="F83" s="22">
        <v>8800</v>
      </c>
      <c r="G83" s="9">
        <v>96800</v>
      </c>
      <c r="H83" s="22" t="s">
        <v>145</v>
      </c>
      <c r="I83" s="8"/>
      <c r="J83" s="22" t="s">
        <v>838</v>
      </c>
      <c r="K83" s="22" t="s">
        <v>635</v>
      </c>
      <c r="L83" s="22" t="s">
        <v>839</v>
      </c>
      <c r="M83" s="22" t="s">
        <v>297</v>
      </c>
      <c r="N83" s="22" t="s">
        <v>840</v>
      </c>
      <c r="O83" s="22" t="s">
        <v>841</v>
      </c>
      <c r="P83" s="22" t="s">
        <v>640</v>
      </c>
      <c r="Q83" s="22" t="s">
        <v>842</v>
      </c>
      <c r="R83" s="22" t="s">
        <v>639</v>
      </c>
      <c r="S83" s="9"/>
      <c r="T83" s="9"/>
      <c r="U83" s="9"/>
      <c r="V83" s="9"/>
      <c r="W83" s="9" t="str">
        <f t="shared" si="4"/>
        <v>20260715</v>
      </c>
      <c r="X83" s="22" t="s">
        <v>1654</v>
      </c>
      <c r="Y83" s="23"/>
      <c r="Z83" s="22">
        <v>1</v>
      </c>
      <c r="AA83" s="22">
        <v>88000</v>
      </c>
      <c r="AB83" s="22">
        <v>88000</v>
      </c>
      <c r="AC83" s="22">
        <v>8800</v>
      </c>
      <c r="AD83" s="9"/>
      <c r="AE83" s="9" t="str">
        <f t="shared" si="5"/>
        <v/>
      </c>
      <c r="AF83" s="23"/>
      <c r="AG83" s="23"/>
      <c r="AH83" s="23"/>
      <c r="AI83" s="23"/>
      <c r="AJ83" s="23"/>
      <c r="AK83" s="23"/>
      <c r="AL83" s="9"/>
      <c r="AM83" s="9" t="str">
        <f t="shared" si="6"/>
        <v/>
      </c>
      <c r="AN83" s="23"/>
      <c r="AO83" s="23"/>
      <c r="AP83" s="23"/>
      <c r="AQ83" s="23"/>
      <c r="AR83" s="23"/>
      <c r="AS83" s="23"/>
      <c r="AT83" s="9"/>
      <c r="AU83" s="9" t="str">
        <f t="shared" si="7"/>
        <v/>
      </c>
      <c r="AV83" s="23"/>
      <c r="AW83" s="23"/>
      <c r="AX83" s="23"/>
      <c r="AY83" s="23"/>
      <c r="AZ83" s="23"/>
      <c r="BA83" s="23"/>
      <c r="BB83" s="9"/>
    </row>
    <row r="84" spans="1:54" ht="54" x14ac:dyDescent="0.3">
      <c r="A84" s="8" t="s">
        <v>65</v>
      </c>
      <c r="B84" s="9" t="s">
        <v>66</v>
      </c>
      <c r="C84" s="22" t="s">
        <v>1618</v>
      </c>
      <c r="D84" s="9">
        <v>20260715</v>
      </c>
      <c r="E84" s="22">
        <v>10000</v>
      </c>
      <c r="F84" s="22">
        <v>1000</v>
      </c>
      <c r="G84" s="9">
        <v>11000</v>
      </c>
      <c r="H84" s="22" t="s">
        <v>146</v>
      </c>
      <c r="I84" s="8"/>
      <c r="J84" s="22" t="s">
        <v>843</v>
      </c>
      <c r="K84" s="22" t="s">
        <v>844</v>
      </c>
      <c r="L84" s="22" t="s">
        <v>845</v>
      </c>
      <c r="M84" s="22" t="s">
        <v>589</v>
      </c>
      <c r="N84" s="22" t="s">
        <v>846</v>
      </c>
      <c r="O84" s="22" t="s">
        <v>291</v>
      </c>
      <c r="P84" s="22" t="s">
        <v>848</v>
      </c>
      <c r="Q84" s="22" t="s">
        <v>847</v>
      </c>
      <c r="R84" s="22" t="s">
        <v>292</v>
      </c>
      <c r="S84" s="9"/>
      <c r="T84" s="9"/>
      <c r="U84" s="9"/>
      <c r="V84" s="9"/>
      <c r="W84" s="9" t="str">
        <f t="shared" si="4"/>
        <v>20260715</v>
      </c>
      <c r="X84" s="22" t="s">
        <v>1655</v>
      </c>
      <c r="Y84" s="23"/>
      <c r="Z84" s="22">
        <v>1</v>
      </c>
      <c r="AA84" s="22">
        <v>10000</v>
      </c>
      <c r="AB84" s="22">
        <v>10000</v>
      </c>
      <c r="AC84" s="22">
        <v>1000</v>
      </c>
      <c r="AD84" s="9"/>
      <c r="AE84" s="9" t="str">
        <f t="shared" si="5"/>
        <v/>
      </c>
      <c r="AF84" s="23"/>
      <c r="AG84" s="23"/>
      <c r="AH84" s="23"/>
      <c r="AI84" s="23"/>
      <c r="AJ84" s="23"/>
      <c r="AK84" s="23"/>
      <c r="AL84" s="9"/>
      <c r="AM84" s="9" t="str">
        <f t="shared" si="6"/>
        <v/>
      </c>
      <c r="AN84" s="23"/>
      <c r="AO84" s="23"/>
      <c r="AP84" s="23"/>
      <c r="AQ84" s="23"/>
      <c r="AR84" s="23"/>
      <c r="AS84" s="23"/>
      <c r="AT84" s="9"/>
      <c r="AU84" s="9" t="str">
        <f t="shared" si="7"/>
        <v/>
      </c>
      <c r="AV84" s="23"/>
      <c r="AW84" s="23"/>
      <c r="AX84" s="23"/>
      <c r="AY84" s="23"/>
      <c r="AZ84" s="23"/>
      <c r="BA84" s="23"/>
      <c r="BB84" s="9"/>
    </row>
    <row r="85" spans="1:54" ht="54" x14ac:dyDescent="0.3">
      <c r="A85" s="8" t="s">
        <v>65</v>
      </c>
      <c r="B85" s="9" t="s">
        <v>66</v>
      </c>
      <c r="C85" s="22" t="s">
        <v>1618</v>
      </c>
      <c r="D85" s="9">
        <v>20260715</v>
      </c>
      <c r="E85" s="22">
        <v>70000</v>
      </c>
      <c r="F85" s="22">
        <v>7000</v>
      </c>
      <c r="G85" s="9">
        <v>77000</v>
      </c>
      <c r="H85" s="22" t="s">
        <v>147</v>
      </c>
      <c r="I85" s="8"/>
      <c r="J85" s="22" t="s">
        <v>849</v>
      </c>
      <c r="K85" s="22" t="s">
        <v>850</v>
      </c>
      <c r="L85" s="22" t="s">
        <v>851</v>
      </c>
      <c r="M85" s="22" t="s">
        <v>273</v>
      </c>
      <c r="N85" s="22" t="s">
        <v>852</v>
      </c>
      <c r="O85" s="22" t="s">
        <v>853</v>
      </c>
      <c r="P85" s="22" t="s">
        <v>856</v>
      </c>
      <c r="Q85" s="22" t="s">
        <v>854</v>
      </c>
      <c r="R85" s="22" t="s">
        <v>855</v>
      </c>
      <c r="S85" s="9"/>
      <c r="T85" s="9"/>
      <c r="U85" s="9"/>
      <c r="V85" s="9"/>
      <c r="W85" s="9" t="str">
        <f t="shared" si="4"/>
        <v>20260715</v>
      </c>
      <c r="X85" s="22" t="s">
        <v>1626</v>
      </c>
      <c r="Y85" s="23"/>
      <c r="Z85" s="22">
        <v>1</v>
      </c>
      <c r="AA85" s="22">
        <v>70000</v>
      </c>
      <c r="AB85" s="22">
        <v>70000</v>
      </c>
      <c r="AC85" s="22">
        <v>7000</v>
      </c>
      <c r="AD85" s="9"/>
      <c r="AE85" s="9" t="str">
        <f t="shared" si="5"/>
        <v/>
      </c>
      <c r="AF85" s="23"/>
      <c r="AG85" s="23"/>
      <c r="AH85" s="23"/>
      <c r="AI85" s="23"/>
      <c r="AJ85" s="23"/>
      <c r="AK85" s="23"/>
      <c r="AL85" s="9"/>
      <c r="AM85" s="9" t="str">
        <f t="shared" si="6"/>
        <v/>
      </c>
      <c r="AN85" s="23"/>
      <c r="AO85" s="23"/>
      <c r="AP85" s="23"/>
      <c r="AQ85" s="23"/>
      <c r="AR85" s="23"/>
      <c r="AS85" s="23"/>
      <c r="AT85" s="9"/>
      <c r="AU85" s="9" t="str">
        <f t="shared" si="7"/>
        <v/>
      </c>
      <c r="AV85" s="23"/>
      <c r="AW85" s="23"/>
      <c r="AX85" s="23"/>
      <c r="AY85" s="23"/>
      <c r="AZ85" s="23"/>
      <c r="BA85" s="23"/>
      <c r="BB85" s="9"/>
    </row>
    <row r="86" spans="1:54" ht="40.5" x14ac:dyDescent="0.3">
      <c r="A86" s="8" t="s">
        <v>65</v>
      </c>
      <c r="B86" s="9" t="s">
        <v>66</v>
      </c>
      <c r="C86" s="22" t="s">
        <v>1618</v>
      </c>
      <c r="D86" s="9">
        <v>20260715</v>
      </c>
      <c r="E86" s="22">
        <v>200000</v>
      </c>
      <c r="F86" s="22">
        <v>20000</v>
      </c>
      <c r="G86" s="9">
        <v>220000</v>
      </c>
      <c r="H86" s="22" t="s">
        <v>148</v>
      </c>
      <c r="I86" s="8"/>
      <c r="J86" s="22" t="s">
        <v>857</v>
      </c>
      <c r="K86" s="22" t="s">
        <v>858</v>
      </c>
      <c r="L86" s="22" t="s">
        <v>859</v>
      </c>
      <c r="M86" s="22" t="s">
        <v>860</v>
      </c>
      <c r="N86" s="22" t="s">
        <v>861</v>
      </c>
      <c r="O86" s="22" t="s">
        <v>291</v>
      </c>
      <c r="P86" s="22" t="s">
        <v>862</v>
      </c>
      <c r="Q86" s="22" t="s">
        <v>292</v>
      </c>
      <c r="R86" s="22" t="s">
        <v>292</v>
      </c>
      <c r="S86" s="9"/>
      <c r="T86" s="9"/>
      <c r="U86" s="9"/>
      <c r="V86" s="9"/>
      <c r="W86" s="9" t="str">
        <f t="shared" si="4"/>
        <v>20260715</v>
      </c>
      <c r="X86" s="22" t="s">
        <v>1624</v>
      </c>
      <c r="Y86" s="23"/>
      <c r="Z86" s="22">
        <v>1</v>
      </c>
      <c r="AA86" s="22">
        <v>200000</v>
      </c>
      <c r="AB86" s="22">
        <v>200000</v>
      </c>
      <c r="AC86" s="22">
        <v>20000</v>
      </c>
      <c r="AD86" s="9"/>
      <c r="AE86" s="9" t="str">
        <f t="shared" si="5"/>
        <v/>
      </c>
      <c r="AF86" s="23"/>
      <c r="AG86" s="23"/>
      <c r="AH86" s="23"/>
      <c r="AI86" s="23"/>
      <c r="AJ86" s="23"/>
      <c r="AK86" s="23"/>
      <c r="AL86" s="9"/>
      <c r="AM86" s="9" t="str">
        <f t="shared" si="6"/>
        <v/>
      </c>
      <c r="AN86" s="23"/>
      <c r="AO86" s="23"/>
      <c r="AP86" s="23"/>
      <c r="AQ86" s="23"/>
      <c r="AR86" s="23"/>
      <c r="AS86" s="23"/>
      <c r="AT86" s="9"/>
      <c r="AU86" s="9" t="str">
        <f t="shared" si="7"/>
        <v/>
      </c>
      <c r="AV86" s="23"/>
      <c r="AW86" s="23"/>
      <c r="AX86" s="23"/>
      <c r="AY86" s="23"/>
      <c r="AZ86" s="23"/>
      <c r="BA86" s="23"/>
      <c r="BB86" s="9"/>
    </row>
    <row r="87" spans="1:54" ht="54" x14ac:dyDescent="0.3">
      <c r="A87" s="8" t="s">
        <v>65</v>
      </c>
      <c r="B87" s="9" t="s">
        <v>66</v>
      </c>
      <c r="C87" s="22" t="s">
        <v>1618</v>
      </c>
      <c r="D87" s="9">
        <v>20260715</v>
      </c>
      <c r="E87" s="22">
        <v>160000</v>
      </c>
      <c r="F87" s="22">
        <v>16000</v>
      </c>
      <c r="G87" s="9">
        <v>176000</v>
      </c>
      <c r="H87" s="22" t="s">
        <v>114</v>
      </c>
      <c r="I87" s="8"/>
      <c r="J87" s="22" t="s">
        <v>601</v>
      </c>
      <c r="K87" s="22" t="s">
        <v>602</v>
      </c>
      <c r="L87" s="22" t="s">
        <v>603</v>
      </c>
      <c r="M87" s="22" t="s">
        <v>273</v>
      </c>
      <c r="N87" s="22" t="s">
        <v>604</v>
      </c>
      <c r="O87" s="22" t="s">
        <v>605</v>
      </c>
      <c r="P87" s="22" t="s">
        <v>608</v>
      </c>
      <c r="Q87" s="22" t="s">
        <v>606</v>
      </c>
      <c r="R87" s="22" t="s">
        <v>607</v>
      </c>
      <c r="S87" s="9"/>
      <c r="T87" s="9"/>
      <c r="U87" s="9"/>
      <c r="V87" s="9"/>
      <c r="W87" s="9" t="str">
        <f t="shared" si="4"/>
        <v>20260715</v>
      </c>
      <c r="X87" s="22" t="s">
        <v>1656</v>
      </c>
      <c r="Y87" s="23"/>
      <c r="Z87" s="22">
        <v>1</v>
      </c>
      <c r="AA87" s="22">
        <v>160000</v>
      </c>
      <c r="AB87" s="22">
        <v>160000</v>
      </c>
      <c r="AC87" s="22">
        <v>16000</v>
      </c>
      <c r="AD87" s="9"/>
      <c r="AE87" s="9" t="str">
        <f t="shared" si="5"/>
        <v/>
      </c>
      <c r="AF87" s="23"/>
      <c r="AG87" s="23"/>
      <c r="AH87" s="23"/>
      <c r="AI87" s="23"/>
      <c r="AJ87" s="23"/>
      <c r="AK87" s="23"/>
      <c r="AL87" s="9"/>
      <c r="AM87" s="9" t="str">
        <f t="shared" si="6"/>
        <v/>
      </c>
      <c r="AN87" s="23"/>
      <c r="AO87" s="23"/>
      <c r="AP87" s="23"/>
      <c r="AQ87" s="23"/>
      <c r="AR87" s="23"/>
      <c r="AS87" s="23"/>
      <c r="AT87" s="9"/>
      <c r="AU87" s="9" t="str">
        <f t="shared" si="7"/>
        <v/>
      </c>
      <c r="AV87" s="23"/>
      <c r="AW87" s="23"/>
      <c r="AX87" s="23"/>
      <c r="AY87" s="23"/>
      <c r="AZ87" s="23"/>
      <c r="BA87" s="23"/>
      <c r="BB87" s="9"/>
    </row>
    <row r="88" spans="1:54" ht="40.5" x14ac:dyDescent="0.3">
      <c r="A88" s="8" t="s">
        <v>65</v>
      </c>
      <c r="B88" s="9" t="s">
        <v>66</v>
      </c>
      <c r="C88" s="22" t="s">
        <v>1618</v>
      </c>
      <c r="D88" s="9">
        <v>20260715</v>
      </c>
      <c r="E88" s="22">
        <v>454546</v>
      </c>
      <c r="F88" s="22">
        <v>45454</v>
      </c>
      <c r="G88" s="9">
        <v>500000</v>
      </c>
      <c r="H88" s="22" t="s">
        <v>149</v>
      </c>
      <c r="I88" s="8"/>
      <c r="J88" s="22" t="s">
        <v>863</v>
      </c>
      <c r="K88" s="22" t="s">
        <v>864</v>
      </c>
      <c r="L88" s="22" t="s">
        <v>865</v>
      </c>
      <c r="M88" s="22" t="s">
        <v>866</v>
      </c>
      <c r="N88" s="22" t="s">
        <v>867</v>
      </c>
      <c r="O88" s="22" t="s">
        <v>868</v>
      </c>
      <c r="P88" s="22" t="s">
        <v>871</v>
      </c>
      <c r="Q88" s="22" t="s">
        <v>869</v>
      </c>
      <c r="R88" s="22" t="s">
        <v>870</v>
      </c>
      <c r="S88" s="9"/>
      <c r="T88" s="9"/>
      <c r="U88" s="9"/>
      <c r="V88" s="9"/>
      <c r="W88" s="9" t="str">
        <f t="shared" si="4"/>
        <v>20260715</v>
      </c>
      <c r="X88" s="22" t="s">
        <v>1633</v>
      </c>
      <c r="Y88" s="23"/>
      <c r="Z88" s="22">
        <v>1</v>
      </c>
      <c r="AA88" s="22">
        <v>454546</v>
      </c>
      <c r="AB88" s="22">
        <v>454546</v>
      </c>
      <c r="AC88" s="22">
        <v>45454</v>
      </c>
      <c r="AD88" s="9"/>
      <c r="AE88" s="9" t="str">
        <f t="shared" si="5"/>
        <v/>
      </c>
      <c r="AF88" s="23"/>
      <c r="AG88" s="23"/>
      <c r="AH88" s="23"/>
      <c r="AI88" s="23"/>
      <c r="AJ88" s="23"/>
      <c r="AK88" s="23"/>
      <c r="AL88" s="9"/>
      <c r="AM88" s="9" t="str">
        <f t="shared" si="6"/>
        <v/>
      </c>
      <c r="AN88" s="23"/>
      <c r="AO88" s="23"/>
      <c r="AP88" s="23"/>
      <c r="AQ88" s="23"/>
      <c r="AR88" s="23"/>
      <c r="AS88" s="23"/>
      <c r="AT88" s="9"/>
      <c r="AU88" s="9" t="str">
        <f t="shared" si="7"/>
        <v/>
      </c>
      <c r="AV88" s="23"/>
      <c r="AW88" s="23"/>
      <c r="AX88" s="23"/>
      <c r="AY88" s="23"/>
      <c r="AZ88" s="23"/>
      <c r="BA88" s="23"/>
      <c r="BB88" s="9"/>
    </row>
    <row r="89" spans="1:54" ht="54" x14ac:dyDescent="0.3">
      <c r="A89" s="8" t="s">
        <v>65</v>
      </c>
      <c r="B89" s="9" t="s">
        <v>66</v>
      </c>
      <c r="C89" s="22" t="s">
        <v>1618</v>
      </c>
      <c r="D89" s="9">
        <v>20260715</v>
      </c>
      <c r="E89" s="22">
        <v>70000</v>
      </c>
      <c r="F89" s="22">
        <v>7000</v>
      </c>
      <c r="G89" s="9">
        <v>77000</v>
      </c>
      <c r="H89" s="22" t="s">
        <v>150</v>
      </c>
      <c r="I89" s="8"/>
      <c r="J89" s="22" t="s">
        <v>872</v>
      </c>
      <c r="K89" s="22" t="s">
        <v>873</v>
      </c>
      <c r="L89" s="22" t="s">
        <v>874</v>
      </c>
      <c r="M89" s="22" t="s">
        <v>597</v>
      </c>
      <c r="N89" s="22" t="s">
        <v>875</v>
      </c>
      <c r="O89" s="22" t="s">
        <v>876</v>
      </c>
      <c r="P89" s="22" t="s">
        <v>879</v>
      </c>
      <c r="Q89" s="22" t="s">
        <v>877</v>
      </c>
      <c r="R89" s="22" t="s">
        <v>878</v>
      </c>
      <c r="S89" s="9"/>
      <c r="T89" s="9"/>
      <c r="U89" s="9"/>
      <c r="V89" s="9"/>
      <c r="W89" s="9" t="str">
        <f t="shared" si="4"/>
        <v>20260715</v>
      </c>
      <c r="X89" s="22" t="s">
        <v>1657</v>
      </c>
      <c r="Y89" s="23"/>
      <c r="Z89" s="22">
        <v>1</v>
      </c>
      <c r="AA89" s="22">
        <v>70000</v>
      </c>
      <c r="AB89" s="22">
        <v>70000</v>
      </c>
      <c r="AC89" s="22">
        <v>7000</v>
      </c>
      <c r="AD89" s="9"/>
      <c r="AE89" s="9" t="str">
        <f t="shared" si="5"/>
        <v/>
      </c>
      <c r="AF89" s="23"/>
      <c r="AG89" s="23"/>
      <c r="AH89" s="23"/>
      <c r="AI89" s="23"/>
      <c r="AJ89" s="23"/>
      <c r="AK89" s="23"/>
      <c r="AL89" s="9"/>
      <c r="AM89" s="9" t="str">
        <f t="shared" si="6"/>
        <v/>
      </c>
      <c r="AN89" s="23"/>
      <c r="AO89" s="23"/>
      <c r="AP89" s="23"/>
      <c r="AQ89" s="23"/>
      <c r="AR89" s="23"/>
      <c r="AS89" s="23"/>
      <c r="AT89" s="9"/>
      <c r="AU89" s="9" t="str">
        <f t="shared" si="7"/>
        <v/>
      </c>
      <c r="AV89" s="23"/>
      <c r="AW89" s="23"/>
      <c r="AX89" s="23"/>
      <c r="AY89" s="23"/>
      <c r="AZ89" s="23"/>
      <c r="BA89" s="23"/>
      <c r="BB89" s="9"/>
    </row>
    <row r="90" spans="1:54" ht="94.5" x14ac:dyDescent="0.3">
      <c r="A90" s="8" t="s">
        <v>65</v>
      </c>
      <c r="B90" s="9" t="s">
        <v>66</v>
      </c>
      <c r="C90" s="22" t="s">
        <v>1618</v>
      </c>
      <c r="D90" s="9">
        <v>20260715</v>
      </c>
      <c r="E90" s="22">
        <v>280000</v>
      </c>
      <c r="F90" s="22">
        <v>28000</v>
      </c>
      <c r="G90" s="9">
        <v>308000</v>
      </c>
      <c r="H90" s="22" t="s">
        <v>109</v>
      </c>
      <c r="I90" s="8"/>
      <c r="J90" s="22" t="s">
        <v>566</v>
      </c>
      <c r="K90" s="22" t="s">
        <v>567</v>
      </c>
      <c r="L90" s="22" t="s">
        <v>568</v>
      </c>
      <c r="M90" s="22" t="s">
        <v>569</v>
      </c>
      <c r="N90" s="22" t="s">
        <v>570</v>
      </c>
      <c r="O90" s="22" t="s">
        <v>291</v>
      </c>
      <c r="P90" s="22" t="s">
        <v>571</v>
      </c>
      <c r="Q90" s="22" t="s">
        <v>259</v>
      </c>
      <c r="R90" s="22" t="s">
        <v>292</v>
      </c>
      <c r="S90" s="9"/>
      <c r="T90" s="9"/>
      <c r="U90" s="9"/>
      <c r="V90" s="9"/>
      <c r="W90" s="9" t="str">
        <f t="shared" si="4"/>
        <v>20260715</v>
      </c>
      <c r="X90" s="22" t="s">
        <v>1631</v>
      </c>
      <c r="Y90" s="23"/>
      <c r="Z90" s="22">
        <v>1</v>
      </c>
      <c r="AA90" s="22">
        <v>40000</v>
      </c>
      <c r="AB90" s="22">
        <v>40000</v>
      </c>
      <c r="AC90" s="22">
        <v>4000</v>
      </c>
      <c r="AD90" s="9"/>
      <c r="AE90" s="9" t="str">
        <f t="shared" si="5"/>
        <v>20260715</v>
      </c>
      <c r="AF90" s="22" t="s">
        <v>1693</v>
      </c>
      <c r="AG90" s="23"/>
      <c r="AH90" s="22">
        <v>1</v>
      </c>
      <c r="AI90" s="22">
        <v>60000</v>
      </c>
      <c r="AJ90" s="22">
        <v>60000</v>
      </c>
      <c r="AK90" s="22">
        <v>6000</v>
      </c>
      <c r="AL90" s="9"/>
      <c r="AM90" s="9" t="str">
        <f t="shared" si="6"/>
        <v>20260715</v>
      </c>
      <c r="AN90" s="22" t="s">
        <v>1660</v>
      </c>
      <c r="AO90" s="23"/>
      <c r="AP90" s="22">
        <v>1</v>
      </c>
      <c r="AQ90" s="22">
        <v>180000</v>
      </c>
      <c r="AR90" s="22">
        <v>180000</v>
      </c>
      <c r="AS90" s="22">
        <v>18000</v>
      </c>
      <c r="AT90" s="9"/>
      <c r="AU90" s="9" t="str">
        <f t="shared" si="7"/>
        <v/>
      </c>
      <c r="AV90" s="23"/>
      <c r="AW90" s="23"/>
      <c r="AX90" s="23"/>
      <c r="AY90" s="23"/>
      <c r="AZ90" s="23"/>
      <c r="BA90" s="23"/>
      <c r="BB90" s="9"/>
    </row>
    <row r="91" spans="1:54" ht="54" x14ac:dyDescent="0.3">
      <c r="A91" s="8" t="s">
        <v>65</v>
      </c>
      <c r="B91" s="9" t="s">
        <v>66</v>
      </c>
      <c r="C91" s="22" t="s">
        <v>1618</v>
      </c>
      <c r="D91" s="9">
        <v>20260715</v>
      </c>
      <c r="E91" s="22">
        <v>150000</v>
      </c>
      <c r="F91" s="22">
        <v>15000</v>
      </c>
      <c r="G91" s="9">
        <v>165000</v>
      </c>
      <c r="H91" s="22" t="s">
        <v>151</v>
      </c>
      <c r="I91" s="8"/>
      <c r="J91" s="22" t="s">
        <v>880</v>
      </c>
      <c r="K91" s="22" t="s">
        <v>881</v>
      </c>
      <c r="L91" s="22" t="s">
        <v>882</v>
      </c>
      <c r="M91" s="22" t="s">
        <v>273</v>
      </c>
      <c r="N91" s="22" t="s">
        <v>883</v>
      </c>
      <c r="O91" s="22" t="s">
        <v>884</v>
      </c>
      <c r="P91" s="22" t="s">
        <v>887</v>
      </c>
      <c r="Q91" s="22" t="s">
        <v>885</v>
      </c>
      <c r="R91" s="22" t="s">
        <v>886</v>
      </c>
      <c r="S91" s="9"/>
      <c r="T91" s="9"/>
      <c r="U91" s="9"/>
      <c r="V91" s="9"/>
      <c r="W91" s="9" t="str">
        <f t="shared" si="4"/>
        <v>20260715</v>
      </c>
      <c r="X91" s="22" t="s">
        <v>1658</v>
      </c>
      <c r="Y91" s="23"/>
      <c r="Z91" s="22">
        <v>1</v>
      </c>
      <c r="AA91" s="22">
        <v>150000</v>
      </c>
      <c r="AB91" s="22">
        <v>150000</v>
      </c>
      <c r="AC91" s="22">
        <v>15000</v>
      </c>
      <c r="AD91" s="9"/>
      <c r="AE91" s="9" t="str">
        <f t="shared" si="5"/>
        <v/>
      </c>
      <c r="AF91" s="23"/>
      <c r="AG91" s="23"/>
      <c r="AH91" s="23"/>
      <c r="AI91" s="23"/>
      <c r="AJ91" s="23"/>
      <c r="AK91" s="23"/>
      <c r="AL91" s="9"/>
      <c r="AM91" s="9" t="str">
        <f t="shared" si="6"/>
        <v/>
      </c>
      <c r="AN91" s="23"/>
      <c r="AO91" s="23"/>
      <c r="AP91" s="23"/>
      <c r="AQ91" s="23"/>
      <c r="AR91" s="23"/>
      <c r="AS91" s="23"/>
      <c r="AT91" s="9"/>
      <c r="AU91" s="9" t="str">
        <f t="shared" si="7"/>
        <v/>
      </c>
      <c r="AV91" s="23"/>
      <c r="AW91" s="23"/>
      <c r="AX91" s="23"/>
      <c r="AY91" s="23"/>
      <c r="AZ91" s="23"/>
      <c r="BA91" s="23"/>
      <c r="BB91" s="9"/>
    </row>
    <row r="92" spans="1:54" ht="81" x14ac:dyDescent="0.3">
      <c r="A92" s="8" t="s">
        <v>65</v>
      </c>
      <c r="B92" s="9" t="s">
        <v>66</v>
      </c>
      <c r="C92" s="22" t="s">
        <v>1618</v>
      </c>
      <c r="D92" s="9">
        <v>20260715</v>
      </c>
      <c r="E92" s="22">
        <v>380000</v>
      </c>
      <c r="F92" s="22">
        <v>38000</v>
      </c>
      <c r="G92" s="9">
        <v>418000</v>
      </c>
      <c r="H92" s="22" t="s">
        <v>152</v>
      </c>
      <c r="I92" s="8"/>
      <c r="J92" s="22" t="s">
        <v>888</v>
      </c>
      <c r="K92" s="22" t="s">
        <v>889</v>
      </c>
      <c r="L92" s="22" t="s">
        <v>890</v>
      </c>
      <c r="M92" s="22" t="s">
        <v>891</v>
      </c>
      <c r="N92" s="22" t="s">
        <v>892</v>
      </c>
      <c r="O92" s="22" t="s">
        <v>893</v>
      </c>
      <c r="P92" s="22" t="s">
        <v>896</v>
      </c>
      <c r="Q92" s="22" t="s">
        <v>894</v>
      </c>
      <c r="R92" s="22" t="s">
        <v>895</v>
      </c>
      <c r="S92" s="9"/>
      <c r="T92" s="9"/>
      <c r="U92" s="9"/>
      <c r="V92" s="9"/>
      <c r="W92" s="9" t="str">
        <f t="shared" si="4"/>
        <v>20260715</v>
      </c>
      <c r="X92" s="22" t="s">
        <v>1659</v>
      </c>
      <c r="Y92" s="23"/>
      <c r="Z92" s="22">
        <v>1</v>
      </c>
      <c r="AA92" s="22">
        <v>300000</v>
      </c>
      <c r="AB92" s="22">
        <v>300000</v>
      </c>
      <c r="AC92" s="22">
        <v>30000</v>
      </c>
      <c r="AD92" s="9"/>
      <c r="AE92" s="9" t="str">
        <f t="shared" si="5"/>
        <v>20260715</v>
      </c>
      <c r="AF92" s="22" t="s">
        <v>1626</v>
      </c>
      <c r="AG92" s="23"/>
      <c r="AH92" s="22">
        <v>1</v>
      </c>
      <c r="AI92" s="22">
        <v>80000</v>
      </c>
      <c r="AJ92" s="22">
        <v>80000</v>
      </c>
      <c r="AK92" s="22">
        <v>8000</v>
      </c>
      <c r="AL92" s="9"/>
      <c r="AM92" s="9" t="str">
        <f t="shared" si="6"/>
        <v/>
      </c>
      <c r="AN92" s="23"/>
      <c r="AO92" s="23"/>
      <c r="AP92" s="23"/>
      <c r="AQ92" s="23"/>
      <c r="AR92" s="23"/>
      <c r="AS92" s="23"/>
      <c r="AT92" s="9"/>
      <c r="AU92" s="9" t="str">
        <f t="shared" si="7"/>
        <v/>
      </c>
      <c r="AV92" s="23"/>
      <c r="AW92" s="23"/>
      <c r="AX92" s="23"/>
      <c r="AY92" s="23"/>
      <c r="AZ92" s="23"/>
      <c r="BA92" s="23"/>
      <c r="BB92" s="9"/>
    </row>
    <row r="93" spans="1:54" ht="54" x14ac:dyDescent="0.3">
      <c r="A93" s="8" t="s">
        <v>65</v>
      </c>
      <c r="B93" s="9" t="s">
        <v>66</v>
      </c>
      <c r="C93" s="22" t="s">
        <v>1618</v>
      </c>
      <c r="D93" s="9">
        <v>20260715</v>
      </c>
      <c r="E93" s="22">
        <v>30000</v>
      </c>
      <c r="F93" s="22">
        <v>3000</v>
      </c>
      <c r="G93" s="9">
        <v>33000</v>
      </c>
      <c r="H93" s="22" t="s">
        <v>153</v>
      </c>
      <c r="I93" s="8"/>
      <c r="J93" s="22" t="s">
        <v>897</v>
      </c>
      <c r="K93" s="22" t="s">
        <v>898</v>
      </c>
      <c r="L93" s="22" t="s">
        <v>899</v>
      </c>
      <c r="M93" s="22" t="s">
        <v>900</v>
      </c>
      <c r="N93" s="22" t="s">
        <v>901</v>
      </c>
      <c r="O93" s="22" t="s">
        <v>902</v>
      </c>
      <c r="P93" s="22" t="s">
        <v>905</v>
      </c>
      <c r="Q93" s="22" t="s">
        <v>903</v>
      </c>
      <c r="R93" s="22" t="s">
        <v>904</v>
      </c>
      <c r="S93" s="9"/>
      <c r="T93" s="9"/>
      <c r="U93" s="9"/>
      <c r="V93" s="9"/>
      <c r="W93" s="9" t="str">
        <f t="shared" si="4"/>
        <v>20260715</v>
      </c>
      <c r="X93" s="22" t="s">
        <v>1655</v>
      </c>
      <c r="Y93" s="23"/>
      <c r="Z93" s="22">
        <v>1</v>
      </c>
      <c r="AA93" s="22">
        <v>30000</v>
      </c>
      <c r="AB93" s="22">
        <v>30000</v>
      </c>
      <c r="AC93" s="22">
        <v>3000</v>
      </c>
      <c r="AD93" s="9"/>
      <c r="AE93" s="9" t="str">
        <f t="shared" si="5"/>
        <v/>
      </c>
      <c r="AF93" s="23"/>
      <c r="AG93" s="23"/>
      <c r="AH93" s="23"/>
      <c r="AI93" s="23"/>
      <c r="AJ93" s="23"/>
      <c r="AK93" s="23"/>
      <c r="AL93" s="9"/>
      <c r="AM93" s="9" t="str">
        <f t="shared" si="6"/>
        <v/>
      </c>
      <c r="AN93" s="23"/>
      <c r="AO93" s="23"/>
      <c r="AP93" s="23"/>
      <c r="AQ93" s="23"/>
      <c r="AR93" s="23"/>
      <c r="AS93" s="23"/>
      <c r="AT93" s="9"/>
      <c r="AU93" s="9" t="str">
        <f t="shared" si="7"/>
        <v/>
      </c>
      <c r="AV93" s="23"/>
      <c r="AW93" s="23"/>
      <c r="AX93" s="23"/>
      <c r="AY93" s="23"/>
      <c r="AZ93" s="23"/>
      <c r="BA93" s="23"/>
      <c r="BB93" s="9"/>
    </row>
    <row r="94" spans="1:54" ht="54" x14ac:dyDescent="0.3">
      <c r="A94" s="8" t="s">
        <v>65</v>
      </c>
      <c r="B94" s="9" t="s">
        <v>66</v>
      </c>
      <c r="C94" s="22" t="s">
        <v>1618</v>
      </c>
      <c r="D94" s="9">
        <v>20260715</v>
      </c>
      <c r="E94" s="22">
        <v>170000</v>
      </c>
      <c r="F94" s="22">
        <v>17000</v>
      </c>
      <c r="G94" s="9">
        <v>187000</v>
      </c>
      <c r="H94" s="22" t="s">
        <v>154</v>
      </c>
      <c r="I94" s="8"/>
      <c r="J94" s="22" t="s">
        <v>906</v>
      </c>
      <c r="K94" s="22" t="s">
        <v>413</v>
      </c>
      <c r="L94" s="22" t="s">
        <v>907</v>
      </c>
      <c r="M94" s="22" t="s">
        <v>908</v>
      </c>
      <c r="N94" s="22" t="s">
        <v>909</v>
      </c>
      <c r="O94" s="22" t="s">
        <v>417</v>
      </c>
      <c r="P94" s="22" t="s">
        <v>420</v>
      </c>
      <c r="Q94" s="22" t="s">
        <v>910</v>
      </c>
      <c r="R94" s="22" t="s">
        <v>419</v>
      </c>
      <c r="S94" s="9"/>
      <c r="T94" s="9"/>
      <c r="U94" s="9"/>
      <c r="V94" s="9"/>
      <c r="W94" s="9" t="str">
        <f t="shared" si="4"/>
        <v>20260715</v>
      </c>
      <c r="X94" s="22" t="s">
        <v>1624</v>
      </c>
      <c r="Y94" s="23"/>
      <c r="Z94" s="22">
        <v>1</v>
      </c>
      <c r="AA94" s="22">
        <v>170000</v>
      </c>
      <c r="AB94" s="22">
        <v>170000</v>
      </c>
      <c r="AC94" s="22">
        <v>17000</v>
      </c>
      <c r="AD94" s="9"/>
      <c r="AE94" s="9" t="str">
        <f t="shared" si="5"/>
        <v/>
      </c>
      <c r="AF94" s="23"/>
      <c r="AG94" s="23"/>
      <c r="AH94" s="23"/>
      <c r="AI94" s="23"/>
      <c r="AJ94" s="23"/>
      <c r="AK94" s="23"/>
      <c r="AL94" s="9"/>
      <c r="AM94" s="9" t="str">
        <f t="shared" si="6"/>
        <v/>
      </c>
      <c r="AN94" s="23"/>
      <c r="AO94" s="23"/>
      <c r="AP94" s="23"/>
      <c r="AQ94" s="23"/>
      <c r="AR94" s="23"/>
      <c r="AS94" s="23"/>
      <c r="AT94" s="9"/>
      <c r="AU94" s="9" t="str">
        <f t="shared" si="7"/>
        <v/>
      </c>
      <c r="AV94" s="23"/>
      <c r="AW94" s="23"/>
      <c r="AX94" s="23"/>
      <c r="AY94" s="23"/>
      <c r="AZ94" s="23"/>
      <c r="BA94" s="23"/>
      <c r="BB94" s="9"/>
    </row>
    <row r="95" spans="1:54" ht="40.5" x14ac:dyDescent="0.3">
      <c r="A95" s="8" t="s">
        <v>65</v>
      </c>
      <c r="B95" s="9" t="s">
        <v>66</v>
      </c>
      <c r="C95" s="22" t="s">
        <v>67</v>
      </c>
      <c r="D95" s="9">
        <v>20260715</v>
      </c>
      <c r="E95" s="22">
        <v>57000</v>
      </c>
      <c r="F95" s="22">
        <v>5700</v>
      </c>
      <c r="G95" s="9">
        <v>62700</v>
      </c>
      <c r="H95" s="22" t="s">
        <v>155</v>
      </c>
      <c r="I95" s="8"/>
      <c r="J95" s="22" t="s">
        <v>911</v>
      </c>
      <c r="K95" s="22" t="s">
        <v>912</v>
      </c>
      <c r="L95" s="22" t="s">
        <v>913</v>
      </c>
      <c r="M95" s="22" t="s">
        <v>914</v>
      </c>
      <c r="N95" s="22" t="s">
        <v>915</v>
      </c>
      <c r="O95" s="22" t="s">
        <v>916</v>
      </c>
      <c r="P95" s="22" t="s">
        <v>918</v>
      </c>
      <c r="Q95" s="22" t="s">
        <v>917</v>
      </c>
      <c r="R95" s="22" t="s">
        <v>292</v>
      </c>
      <c r="S95" s="9"/>
      <c r="T95" s="9"/>
      <c r="U95" s="9"/>
      <c r="V95" s="9"/>
      <c r="W95" s="9" t="str">
        <f t="shared" si="4"/>
        <v>20260715</v>
      </c>
      <c r="X95" s="22" t="s">
        <v>1634</v>
      </c>
      <c r="Y95" s="23"/>
      <c r="Z95" s="22">
        <v>1</v>
      </c>
      <c r="AA95" s="22">
        <v>57000</v>
      </c>
      <c r="AB95" s="22">
        <v>57000</v>
      </c>
      <c r="AC95" s="22">
        <v>5700</v>
      </c>
      <c r="AD95" s="9"/>
      <c r="AE95" s="9" t="str">
        <f t="shared" si="5"/>
        <v/>
      </c>
      <c r="AF95" s="23"/>
      <c r="AG95" s="23"/>
      <c r="AH95" s="23"/>
      <c r="AI95" s="23"/>
      <c r="AJ95" s="23"/>
      <c r="AK95" s="23"/>
      <c r="AL95" s="9"/>
      <c r="AM95" s="9" t="str">
        <f t="shared" si="6"/>
        <v/>
      </c>
      <c r="AN95" s="23"/>
      <c r="AO95" s="23"/>
      <c r="AP95" s="23"/>
      <c r="AQ95" s="23"/>
      <c r="AR95" s="23"/>
      <c r="AS95" s="23"/>
      <c r="AT95" s="9"/>
      <c r="AU95" s="9" t="str">
        <f t="shared" si="7"/>
        <v/>
      </c>
      <c r="AV95" s="23"/>
      <c r="AW95" s="23"/>
      <c r="AX95" s="23"/>
      <c r="AY95" s="23"/>
      <c r="AZ95" s="23"/>
      <c r="BA95" s="23"/>
      <c r="BB95" s="9"/>
    </row>
    <row r="96" spans="1:54" ht="67.5" x14ac:dyDescent="0.3">
      <c r="A96" s="8" t="s">
        <v>65</v>
      </c>
      <c r="B96" s="9" t="s">
        <v>66</v>
      </c>
      <c r="C96" s="22" t="s">
        <v>1618</v>
      </c>
      <c r="D96" s="9">
        <v>20260715</v>
      </c>
      <c r="E96" s="22">
        <v>400000</v>
      </c>
      <c r="F96" s="22">
        <v>40000</v>
      </c>
      <c r="G96" s="9">
        <v>440000</v>
      </c>
      <c r="H96" s="22" t="s">
        <v>156</v>
      </c>
      <c r="I96" s="8"/>
      <c r="J96" s="22" t="s">
        <v>919</v>
      </c>
      <c r="K96" s="22" t="s">
        <v>920</v>
      </c>
      <c r="L96" s="22" t="s">
        <v>921</v>
      </c>
      <c r="M96" s="22" t="s">
        <v>273</v>
      </c>
      <c r="N96" s="22" t="s">
        <v>922</v>
      </c>
      <c r="O96" s="22" t="s">
        <v>920</v>
      </c>
      <c r="P96" s="22" t="s">
        <v>925</v>
      </c>
      <c r="Q96" s="22" t="s">
        <v>923</v>
      </c>
      <c r="R96" s="22" t="s">
        <v>924</v>
      </c>
      <c r="S96" s="9"/>
      <c r="T96" s="9"/>
      <c r="U96" s="9"/>
      <c r="V96" s="9"/>
      <c r="W96" s="9" t="str">
        <f t="shared" si="4"/>
        <v>20260715</v>
      </c>
      <c r="X96" s="22" t="s">
        <v>1624</v>
      </c>
      <c r="Y96" s="23"/>
      <c r="Z96" s="22">
        <v>1</v>
      </c>
      <c r="AA96" s="22">
        <v>200000</v>
      </c>
      <c r="AB96" s="22">
        <v>200000</v>
      </c>
      <c r="AC96" s="22">
        <v>20000</v>
      </c>
      <c r="AD96" s="9"/>
      <c r="AE96" s="9" t="str">
        <f t="shared" si="5"/>
        <v>20260715</v>
      </c>
      <c r="AF96" s="22" t="s">
        <v>1625</v>
      </c>
      <c r="AG96" s="23"/>
      <c r="AH96" s="22">
        <v>1</v>
      </c>
      <c r="AI96" s="22">
        <v>200000</v>
      </c>
      <c r="AJ96" s="22">
        <v>200000</v>
      </c>
      <c r="AK96" s="22">
        <v>20000</v>
      </c>
      <c r="AL96" s="9"/>
      <c r="AM96" s="9" t="str">
        <f t="shared" si="6"/>
        <v/>
      </c>
      <c r="AN96" s="23"/>
      <c r="AO96" s="23"/>
      <c r="AP96" s="23"/>
      <c r="AQ96" s="23"/>
      <c r="AR96" s="23"/>
      <c r="AS96" s="23"/>
      <c r="AT96" s="9"/>
      <c r="AU96" s="9" t="str">
        <f t="shared" si="7"/>
        <v/>
      </c>
      <c r="AV96" s="23"/>
      <c r="AW96" s="23"/>
      <c r="AX96" s="23"/>
      <c r="AY96" s="23"/>
      <c r="AZ96" s="23"/>
      <c r="BA96" s="23"/>
      <c r="BB96" s="9"/>
    </row>
    <row r="97" spans="1:54" ht="54" x14ac:dyDescent="0.3">
      <c r="A97" s="8" t="s">
        <v>65</v>
      </c>
      <c r="B97" s="9" t="s">
        <v>66</v>
      </c>
      <c r="C97" s="22" t="s">
        <v>1618</v>
      </c>
      <c r="D97" s="9">
        <v>20260715</v>
      </c>
      <c r="E97" s="22">
        <v>32000</v>
      </c>
      <c r="F97" s="22">
        <v>3200</v>
      </c>
      <c r="G97" s="9">
        <v>35200</v>
      </c>
      <c r="H97" s="22" t="s">
        <v>157</v>
      </c>
      <c r="I97" s="8"/>
      <c r="J97" s="22" t="s">
        <v>926</v>
      </c>
      <c r="K97" s="22" t="s">
        <v>927</v>
      </c>
      <c r="L97" s="22" t="s">
        <v>928</v>
      </c>
      <c r="M97" s="22" t="s">
        <v>929</v>
      </c>
      <c r="N97" s="22" t="s">
        <v>930</v>
      </c>
      <c r="O97" s="22" t="s">
        <v>931</v>
      </c>
      <c r="P97" s="22" t="s">
        <v>934</v>
      </c>
      <c r="Q97" s="22" t="s">
        <v>932</v>
      </c>
      <c r="R97" s="22" t="s">
        <v>933</v>
      </c>
      <c r="S97" s="9"/>
      <c r="T97" s="9"/>
      <c r="U97" s="9"/>
      <c r="V97" s="9"/>
      <c r="W97" s="9" t="str">
        <f t="shared" si="4"/>
        <v>20260715</v>
      </c>
      <c r="X97" s="22" t="s">
        <v>1655</v>
      </c>
      <c r="Y97" s="23"/>
      <c r="Z97" s="22">
        <v>1</v>
      </c>
      <c r="AA97" s="22">
        <v>32000</v>
      </c>
      <c r="AB97" s="22">
        <v>32000</v>
      </c>
      <c r="AC97" s="22">
        <v>3200</v>
      </c>
      <c r="AD97" s="9"/>
      <c r="AE97" s="9" t="str">
        <f t="shared" si="5"/>
        <v/>
      </c>
      <c r="AF97" s="23"/>
      <c r="AG97" s="23"/>
      <c r="AH97" s="23"/>
      <c r="AI97" s="23"/>
      <c r="AJ97" s="23"/>
      <c r="AK97" s="23"/>
      <c r="AL97" s="9"/>
      <c r="AM97" s="9" t="str">
        <f t="shared" si="6"/>
        <v/>
      </c>
      <c r="AN97" s="23"/>
      <c r="AO97" s="23"/>
      <c r="AP97" s="23"/>
      <c r="AQ97" s="23"/>
      <c r="AR97" s="23"/>
      <c r="AS97" s="23"/>
      <c r="AT97" s="9"/>
      <c r="AU97" s="9" t="str">
        <f t="shared" si="7"/>
        <v/>
      </c>
      <c r="AV97" s="23"/>
      <c r="AW97" s="23"/>
      <c r="AX97" s="23"/>
      <c r="AY97" s="23"/>
      <c r="AZ97" s="23"/>
      <c r="BA97" s="23"/>
      <c r="BB97" s="9"/>
    </row>
    <row r="98" spans="1:54" ht="81" x14ac:dyDescent="0.3">
      <c r="A98" s="8" t="s">
        <v>65</v>
      </c>
      <c r="B98" s="9" t="s">
        <v>66</v>
      </c>
      <c r="C98" s="22" t="s">
        <v>1618</v>
      </c>
      <c r="D98" s="9">
        <v>20260715</v>
      </c>
      <c r="E98" s="22">
        <v>70000</v>
      </c>
      <c r="F98" s="22">
        <v>7000</v>
      </c>
      <c r="G98" s="9">
        <v>77000</v>
      </c>
      <c r="H98" s="22" t="s">
        <v>158</v>
      </c>
      <c r="I98" s="8"/>
      <c r="J98" s="22" t="s">
        <v>935</v>
      </c>
      <c r="K98" s="22" t="s">
        <v>936</v>
      </c>
      <c r="L98" s="22" t="s">
        <v>937</v>
      </c>
      <c r="M98" s="22" t="s">
        <v>612</v>
      </c>
      <c r="N98" s="22" t="s">
        <v>938</v>
      </c>
      <c r="O98" s="22" t="s">
        <v>939</v>
      </c>
      <c r="P98" s="22" t="s">
        <v>941</v>
      </c>
      <c r="Q98" s="22" t="s">
        <v>259</v>
      </c>
      <c r="R98" s="22" t="s">
        <v>940</v>
      </c>
      <c r="S98" s="9"/>
      <c r="T98" s="9"/>
      <c r="U98" s="9"/>
      <c r="V98" s="9"/>
      <c r="W98" s="9" t="str">
        <f t="shared" si="4"/>
        <v>20260715</v>
      </c>
      <c r="X98" s="22" t="s">
        <v>1626</v>
      </c>
      <c r="Y98" s="23"/>
      <c r="Z98" s="22">
        <v>1</v>
      </c>
      <c r="AA98" s="22">
        <v>70000</v>
      </c>
      <c r="AB98" s="22">
        <v>70000</v>
      </c>
      <c r="AC98" s="22">
        <v>7000</v>
      </c>
      <c r="AD98" s="9"/>
      <c r="AE98" s="9" t="str">
        <f t="shared" si="5"/>
        <v/>
      </c>
      <c r="AF98" s="23"/>
      <c r="AG98" s="23"/>
      <c r="AH98" s="23"/>
      <c r="AI98" s="23"/>
      <c r="AJ98" s="23"/>
      <c r="AK98" s="23"/>
      <c r="AL98" s="9"/>
      <c r="AM98" s="9" t="str">
        <f t="shared" si="6"/>
        <v/>
      </c>
      <c r="AN98" s="23"/>
      <c r="AO98" s="23"/>
      <c r="AP98" s="23"/>
      <c r="AQ98" s="23"/>
      <c r="AR98" s="23"/>
      <c r="AS98" s="23"/>
      <c r="AT98" s="9"/>
      <c r="AU98" s="9" t="str">
        <f t="shared" si="7"/>
        <v/>
      </c>
      <c r="AV98" s="23"/>
      <c r="AW98" s="23"/>
      <c r="AX98" s="23"/>
      <c r="AY98" s="23"/>
      <c r="AZ98" s="23"/>
      <c r="BA98" s="23"/>
      <c r="BB98" s="9"/>
    </row>
    <row r="99" spans="1:54" ht="67.5" x14ac:dyDescent="0.3">
      <c r="A99" s="8" t="s">
        <v>65</v>
      </c>
      <c r="B99" s="9" t="s">
        <v>66</v>
      </c>
      <c r="C99" s="22" t="s">
        <v>1618</v>
      </c>
      <c r="D99" s="9">
        <v>20260715</v>
      </c>
      <c r="E99" s="22">
        <v>300000</v>
      </c>
      <c r="F99" s="22">
        <v>30000</v>
      </c>
      <c r="G99" s="9">
        <v>330000</v>
      </c>
      <c r="H99" s="22" t="s">
        <v>159</v>
      </c>
      <c r="I99" s="8"/>
      <c r="J99" s="22" t="s">
        <v>942</v>
      </c>
      <c r="K99" s="22" t="s">
        <v>943</v>
      </c>
      <c r="L99" s="22" t="s">
        <v>944</v>
      </c>
      <c r="M99" s="22" t="s">
        <v>945</v>
      </c>
      <c r="N99" s="22" t="s">
        <v>946</v>
      </c>
      <c r="O99" s="22" t="s">
        <v>947</v>
      </c>
      <c r="P99" s="22" t="s">
        <v>948</v>
      </c>
      <c r="Q99" s="22" t="s">
        <v>292</v>
      </c>
      <c r="R99" s="22" t="s">
        <v>292</v>
      </c>
      <c r="S99" s="9"/>
      <c r="T99" s="9"/>
      <c r="U99" s="9"/>
      <c r="V99" s="9"/>
      <c r="W99" s="9" t="str">
        <f t="shared" si="4"/>
        <v>20260715</v>
      </c>
      <c r="X99" s="22" t="s">
        <v>1633</v>
      </c>
      <c r="Y99" s="23"/>
      <c r="Z99" s="22">
        <v>1</v>
      </c>
      <c r="AA99" s="22">
        <v>300000</v>
      </c>
      <c r="AB99" s="22">
        <v>300000</v>
      </c>
      <c r="AC99" s="22">
        <v>30000</v>
      </c>
      <c r="AD99" s="9"/>
      <c r="AE99" s="9" t="str">
        <f t="shared" si="5"/>
        <v/>
      </c>
      <c r="AF99" s="23"/>
      <c r="AG99" s="23"/>
      <c r="AH99" s="23"/>
      <c r="AI99" s="23"/>
      <c r="AJ99" s="23"/>
      <c r="AK99" s="23"/>
      <c r="AL99" s="9"/>
      <c r="AM99" s="9" t="str">
        <f t="shared" si="6"/>
        <v/>
      </c>
      <c r="AN99" s="23"/>
      <c r="AO99" s="23"/>
      <c r="AP99" s="23"/>
      <c r="AQ99" s="23"/>
      <c r="AR99" s="23"/>
      <c r="AS99" s="23"/>
      <c r="AT99" s="9"/>
      <c r="AU99" s="9" t="str">
        <f t="shared" si="7"/>
        <v/>
      </c>
      <c r="AV99" s="23"/>
      <c r="AW99" s="23"/>
      <c r="AX99" s="23"/>
      <c r="AY99" s="23"/>
      <c r="AZ99" s="23"/>
      <c r="BA99" s="23"/>
      <c r="BB99" s="9"/>
    </row>
    <row r="100" spans="1:54" ht="54" x14ac:dyDescent="0.3">
      <c r="A100" s="8" t="s">
        <v>65</v>
      </c>
      <c r="B100" s="9" t="s">
        <v>66</v>
      </c>
      <c r="C100" s="22" t="s">
        <v>1618</v>
      </c>
      <c r="D100" s="9">
        <v>20260715</v>
      </c>
      <c r="E100" s="22">
        <v>17000</v>
      </c>
      <c r="F100" s="22">
        <v>1700</v>
      </c>
      <c r="G100" s="9">
        <v>18700</v>
      </c>
      <c r="H100" s="22" t="s">
        <v>160</v>
      </c>
      <c r="I100" s="8"/>
      <c r="J100" s="22" t="s">
        <v>949</v>
      </c>
      <c r="K100" s="22" t="s">
        <v>950</v>
      </c>
      <c r="L100" s="22" t="s">
        <v>951</v>
      </c>
      <c r="M100" s="22" t="s">
        <v>273</v>
      </c>
      <c r="N100" s="22" t="s">
        <v>952</v>
      </c>
      <c r="O100" s="22" t="s">
        <v>950</v>
      </c>
      <c r="P100" s="22" t="s">
        <v>955</v>
      </c>
      <c r="Q100" s="22" t="s">
        <v>953</v>
      </c>
      <c r="R100" s="22" t="s">
        <v>954</v>
      </c>
      <c r="S100" s="9"/>
      <c r="T100" s="9"/>
      <c r="U100" s="9"/>
      <c r="V100" s="9"/>
      <c r="W100" s="9" t="str">
        <f t="shared" si="4"/>
        <v>20260715</v>
      </c>
      <c r="X100" s="22" t="s">
        <v>1655</v>
      </c>
      <c r="Y100" s="23"/>
      <c r="Z100" s="22">
        <v>1</v>
      </c>
      <c r="AA100" s="22">
        <v>10000</v>
      </c>
      <c r="AB100" s="22">
        <v>10000</v>
      </c>
      <c r="AC100" s="22">
        <v>1000</v>
      </c>
      <c r="AD100" s="9"/>
      <c r="AE100" s="9" t="str">
        <f t="shared" si="5"/>
        <v>20260715</v>
      </c>
      <c r="AF100" s="22" t="s">
        <v>1694</v>
      </c>
      <c r="AG100" s="23"/>
      <c r="AH100" s="22">
        <v>1</v>
      </c>
      <c r="AI100" s="22">
        <v>7000</v>
      </c>
      <c r="AJ100" s="22">
        <v>7000</v>
      </c>
      <c r="AK100" s="22">
        <v>700</v>
      </c>
      <c r="AL100" s="9"/>
      <c r="AM100" s="9" t="str">
        <f t="shared" si="6"/>
        <v/>
      </c>
      <c r="AN100" s="23"/>
      <c r="AO100" s="23"/>
      <c r="AP100" s="23"/>
      <c r="AQ100" s="23"/>
      <c r="AR100" s="23"/>
      <c r="AS100" s="23"/>
      <c r="AT100" s="9"/>
      <c r="AU100" s="9" t="str">
        <f t="shared" si="7"/>
        <v/>
      </c>
      <c r="AV100" s="23"/>
      <c r="AW100" s="23"/>
      <c r="AX100" s="23"/>
      <c r="AY100" s="23"/>
      <c r="AZ100" s="23"/>
      <c r="BA100" s="23"/>
      <c r="BB100" s="9"/>
    </row>
    <row r="101" spans="1:54" ht="81" x14ac:dyDescent="0.3">
      <c r="A101" s="8" t="s">
        <v>65</v>
      </c>
      <c r="B101" s="9" t="s">
        <v>66</v>
      </c>
      <c r="C101" s="22" t="s">
        <v>1618</v>
      </c>
      <c r="D101" s="9">
        <v>20260715</v>
      </c>
      <c r="E101" s="22">
        <v>220000</v>
      </c>
      <c r="F101" s="22">
        <v>22000</v>
      </c>
      <c r="G101" s="9">
        <v>242000</v>
      </c>
      <c r="H101" s="22" t="s">
        <v>161</v>
      </c>
      <c r="I101" s="8"/>
      <c r="J101" s="22" t="s">
        <v>956</v>
      </c>
      <c r="K101" s="22" t="s">
        <v>957</v>
      </c>
      <c r="L101" s="22" t="s">
        <v>958</v>
      </c>
      <c r="M101" s="22" t="s">
        <v>452</v>
      </c>
      <c r="N101" s="22" t="s">
        <v>959</v>
      </c>
      <c r="O101" s="22" t="s">
        <v>291</v>
      </c>
      <c r="P101" s="22" t="s">
        <v>961</v>
      </c>
      <c r="Q101" s="22" t="s">
        <v>960</v>
      </c>
      <c r="R101" s="22" t="s">
        <v>292</v>
      </c>
      <c r="S101" s="9"/>
      <c r="T101" s="9"/>
      <c r="U101" s="9"/>
      <c r="V101" s="9"/>
      <c r="W101" s="9" t="str">
        <f t="shared" si="4"/>
        <v>20260715</v>
      </c>
      <c r="X101" s="22" t="s">
        <v>1660</v>
      </c>
      <c r="Y101" s="23"/>
      <c r="Z101" s="22">
        <v>1</v>
      </c>
      <c r="AA101" s="22">
        <v>220000</v>
      </c>
      <c r="AB101" s="22">
        <v>220000</v>
      </c>
      <c r="AC101" s="22">
        <v>22000</v>
      </c>
      <c r="AD101" s="9"/>
      <c r="AE101" s="9" t="str">
        <f t="shared" si="5"/>
        <v/>
      </c>
      <c r="AF101" s="23"/>
      <c r="AG101" s="23"/>
      <c r="AH101" s="23"/>
      <c r="AI101" s="23"/>
      <c r="AJ101" s="23"/>
      <c r="AK101" s="23"/>
      <c r="AL101" s="9"/>
      <c r="AM101" s="9" t="str">
        <f t="shared" si="6"/>
        <v/>
      </c>
      <c r="AN101" s="23"/>
      <c r="AO101" s="23"/>
      <c r="AP101" s="23"/>
      <c r="AQ101" s="23"/>
      <c r="AR101" s="23"/>
      <c r="AS101" s="23"/>
      <c r="AT101" s="9"/>
      <c r="AU101" s="9" t="str">
        <f t="shared" si="7"/>
        <v/>
      </c>
      <c r="AV101" s="23"/>
      <c r="AW101" s="23"/>
      <c r="AX101" s="23"/>
      <c r="AY101" s="23"/>
      <c r="AZ101" s="23"/>
      <c r="BA101" s="23"/>
      <c r="BB101" s="9"/>
    </row>
    <row r="102" spans="1:54" ht="54" x14ac:dyDescent="0.3">
      <c r="A102" s="8" t="s">
        <v>65</v>
      </c>
      <c r="B102" s="9" t="s">
        <v>66</v>
      </c>
      <c r="C102" s="22" t="s">
        <v>1618</v>
      </c>
      <c r="D102" s="9">
        <v>20260715</v>
      </c>
      <c r="E102" s="22">
        <v>80000</v>
      </c>
      <c r="F102" s="22">
        <v>8000</v>
      </c>
      <c r="G102" s="9">
        <v>88000</v>
      </c>
      <c r="H102" s="22" t="s">
        <v>162</v>
      </c>
      <c r="I102" s="8"/>
      <c r="J102" s="22" t="s">
        <v>962</v>
      </c>
      <c r="K102" s="22" t="s">
        <v>963</v>
      </c>
      <c r="L102" s="22" t="s">
        <v>964</v>
      </c>
      <c r="M102" s="22" t="s">
        <v>297</v>
      </c>
      <c r="N102" s="22" t="s">
        <v>965</v>
      </c>
      <c r="O102" s="22" t="s">
        <v>963</v>
      </c>
      <c r="P102" s="22" t="s">
        <v>968</v>
      </c>
      <c r="Q102" s="22" t="s">
        <v>966</v>
      </c>
      <c r="R102" s="22" t="s">
        <v>967</v>
      </c>
      <c r="S102" s="9"/>
      <c r="T102" s="9"/>
      <c r="U102" s="9"/>
      <c r="V102" s="9"/>
      <c r="W102" s="9" t="str">
        <f t="shared" si="4"/>
        <v>20260715</v>
      </c>
      <c r="X102" s="22" t="s">
        <v>1626</v>
      </c>
      <c r="Y102" s="23"/>
      <c r="Z102" s="22">
        <v>1</v>
      </c>
      <c r="AA102" s="22">
        <v>80000</v>
      </c>
      <c r="AB102" s="22">
        <v>80000</v>
      </c>
      <c r="AC102" s="22">
        <v>8000</v>
      </c>
      <c r="AD102" s="9"/>
      <c r="AE102" s="9" t="str">
        <f t="shared" si="5"/>
        <v/>
      </c>
      <c r="AF102" s="23"/>
      <c r="AG102" s="23"/>
      <c r="AH102" s="23"/>
      <c r="AI102" s="23"/>
      <c r="AJ102" s="23"/>
      <c r="AK102" s="23"/>
      <c r="AL102" s="9"/>
      <c r="AM102" s="9" t="str">
        <f t="shared" si="6"/>
        <v/>
      </c>
      <c r="AN102" s="23"/>
      <c r="AO102" s="23"/>
      <c r="AP102" s="23"/>
      <c r="AQ102" s="23"/>
      <c r="AR102" s="23"/>
      <c r="AS102" s="23"/>
      <c r="AT102" s="9"/>
      <c r="AU102" s="9" t="str">
        <f t="shared" si="7"/>
        <v/>
      </c>
      <c r="AV102" s="23"/>
      <c r="AW102" s="23"/>
      <c r="AX102" s="23"/>
      <c r="AY102" s="23"/>
      <c r="AZ102" s="23"/>
      <c r="BA102" s="23"/>
      <c r="BB102" s="9"/>
    </row>
    <row r="103" spans="1:54" ht="54" x14ac:dyDescent="0.3">
      <c r="A103" s="8" t="s">
        <v>65</v>
      </c>
      <c r="B103" s="9" t="s">
        <v>66</v>
      </c>
      <c r="C103" s="22" t="s">
        <v>1618</v>
      </c>
      <c r="D103" s="9">
        <v>20260715</v>
      </c>
      <c r="E103" s="22">
        <v>60000</v>
      </c>
      <c r="F103" s="22">
        <v>6000</v>
      </c>
      <c r="G103" s="9">
        <v>66000</v>
      </c>
      <c r="H103" s="22" t="s">
        <v>163</v>
      </c>
      <c r="I103" s="8"/>
      <c r="J103" s="22" t="s">
        <v>969</v>
      </c>
      <c r="K103" s="22" t="s">
        <v>970</v>
      </c>
      <c r="L103" s="22" t="s">
        <v>971</v>
      </c>
      <c r="M103" s="22" t="s">
        <v>972</v>
      </c>
      <c r="N103" s="22" t="s">
        <v>973</v>
      </c>
      <c r="O103" s="22" t="s">
        <v>291</v>
      </c>
      <c r="P103" s="22" t="s">
        <v>976</v>
      </c>
      <c r="Q103" s="22" t="s">
        <v>974</v>
      </c>
      <c r="R103" s="22" t="s">
        <v>975</v>
      </c>
      <c r="S103" s="9"/>
      <c r="T103" s="9"/>
      <c r="U103" s="9"/>
      <c r="V103" s="9"/>
      <c r="W103" s="9" t="str">
        <f t="shared" si="4"/>
        <v>20260715</v>
      </c>
      <c r="X103" s="22" t="s">
        <v>1626</v>
      </c>
      <c r="Y103" s="23"/>
      <c r="Z103" s="22">
        <v>1</v>
      </c>
      <c r="AA103" s="22">
        <v>60000</v>
      </c>
      <c r="AB103" s="22">
        <v>60000</v>
      </c>
      <c r="AC103" s="22">
        <v>6000</v>
      </c>
      <c r="AD103" s="9"/>
      <c r="AE103" s="9" t="str">
        <f t="shared" si="5"/>
        <v/>
      </c>
      <c r="AF103" s="23"/>
      <c r="AG103" s="23"/>
      <c r="AH103" s="23"/>
      <c r="AI103" s="23"/>
      <c r="AJ103" s="23"/>
      <c r="AK103" s="23"/>
      <c r="AL103" s="9"/>
      <c r="AM103" s="9" t="str">
        <f t="shared" si="6"/>
        <v/>
      </c>
      <c r="AN103" s="23"/>
      <c r="AO103" s="23"/>
      <c r="AP103" s="23"/>
      <c r="AQ103" s="23"/>
      <c r="AR103" s="23"/>
      <c r="AS103" s="23"/>
      <c r="AT103" s="9"/>
      <c r="AU103" s="9" t="str">
        <f t="shared" si="7"/>
        <v/>
      </c>
      <c r="AV103" s="23"/>
      <c r="AW103" s="23"/>
      <c r="AX103" s="23"/>
      <c r="AY103" s="23"/>
      <c r="AZ103" s="23"/>
      <c r="BA103" s="23"/>
      <c r="BB103" s="9"/>
    </row>
    <row r="104" spans="1:54" ht="67.5" x14ac:dyDescent="0.3">
      <c r="A104" s="8" t="s">
        <v>65</v>
      </c>
      <c r="B104" s="9" t="s">
        <v>66</v>
      </c>
      <c r="C104" s="22" t="s">
        <v>1618</v>
      </c>
      <c r="D104" s="9">
        <v>20260715</v>
      </c>
      <c r="E104" s="22">
        <v>704254</v>
      </c>
      <c r="F104" s="22">
        <v>70425</v>
      </c>
      <c r="G104" s="9">
        <v>774679</v>
      </c>
      <c r="H104" s="22" t="s">
        <v>164</v>
      </c>
      <c r="I104" s="8"/>
      <c r="J104" s="22" t="s">
        <v>977</v>
      </c>
      <c r="K104" s="22" t="s">
        <v>978</v>
      </c>
      <c r="L104" s="22" t="s">
        <v>979</v>
      </c>
      <c r="M104" s="22" t="s">
        <v>980</v>
      </c>
      <c r="N104" s="22" t="s">
        <v>981</v>
      </c>
      <c r="O104" s="22" t="s">
        <v>291</v>
      </c>
      <c r="P104" s="22" t="s">
        <v>982</v>
      </c>
      <c r="Q104" s="22" t="s">
        <v>259</v>
      </c>
      <c r="R104" s="22" t="s">
        <v>292</v>
      </c>
      <c r="S104" s="9"/>
      <c r="T104" s="9"/>
      <c r="U104" s="9"/>
      <c r="V104" s="9"/>
      <c r="W104" s="9" t="str">
        <f t="shared" si="4"/>
        <v>20260715</v>
      </c>
      <c r="X104" s="22" t="s">
        <v>1661</v>
      </c>
      <c r="Y104" s="23"/>
      <c r="Z104" s="22">
        <v>1</v>
      </c>
      <c r="AA104" s="22">
        <v>704254</v>
      </c>
      <c r="AB104" s="22">
        <v>704254</v>
      </c>
      <c r="AC104" s="22">
        <v>70425</v>
      </c>
      <c r="AD104" s="9"/>
      <c r="AE104" s="9" t="str">
        <f t="shared" si="5"/>
        <v/>
      </c>
      <c r="AF104" s="23"/>
      <c r="AG104" s="23"/>
      <c r="AH104" s="23"/>
      <c r="AI104" s="23"/>
      <c r="AJ104" s="23"/>
      <c r="AK104" s="23"/>
      <c r="AL104" s="9"/>
      <c r="AM104" s="9" t="str">
        <f t="shared" si="6"/>
        <v/>
      </c>
      <c r="AN104" s="23"/>
      <c r="AO104" s="23"/>
      <c r="AP104" s="23"/>
      <c r="AQ104" s="23"/>
      <c r="AR104" s="23"/>
      <c r="AS104" s="23"/>
      <c r="AT104" s="9"/>
      <c r="AU104" s="9" t="str">
        <f t="shared" si="7"/>
        <v/>
      </c>
      <c r="AV104" s="23"/>
      <c r="AW104" s="23"/>
      <c r="AX104" s="23"/>
      <c r="AY104" s="23"/>
      <c r="AZ104" s="23"/>
      <c r="BA104" s="23"/>
      <c r="BB104" s="9"/>
    </row>
    <row r="105" spans="1:54" ht="67.5" x14ac:dyDescent="0.3">
      <c r="A105" s="8" t="s">
        <v>65</v>
      </c>
      <c r="B105" s="9" t="s">
        <v>66</v>
      </c>
      <c r="C105" s="22" t="s">
        <v>1618</v>
      </c>
      <c r="D105" s="9">
        <v>20260715</v>
      </c>
      <c r="E105" s="22">
        <v>10000000</v>
      </c>
      <c r="F105" s="22">
        <v>1000000</v>
      </c>
      <c r="G105" s="9">
        <v>11000000</v>
      </c>
      <c r="H105" s="22" t="s">
        <v>135</v>
      </c>
      <c r="I105" s="8"/>
      <c r="J105" s="22" t="s">
        <v>761</v>
      </c>
      <c r="K105" s="22" t="s">
        <v>762</v>
      </c>
      <c r="L105" s="22" t="s">
        <v>763</v>
      </c>
      <c r="M105" s="22" t="s">
        <v>661</v>
      </c>
      <c r="N105" s="22" t="s">
        <v>764</v>
      </c>
      <c r="O105" s="22" t="s">
        <v>765</v>
      </c>
      <c r="P105" s="22" t="s">
        <v>768</v>
      </c>
      <c r="Q105" s="22" t="s">
        <v>766</v>
      </c>
      <c r="R105" s="22" t="s">
        <v>767</v>
      </c>
      <c r="S105" s="9"/>
      <c r="T105" s="9"/>
      <c r="U105" s="9"/>
      <c r="V105" s="9"/>
      <c r="W105" s="9" t="str">
        <f t="shared" si="4"/>
        <v>20260715</v>
      </c>
      <c r="X105" s="22" t="s">
        <v>1662</v>
      </c>
      <c r="Y105" s="23"/>
      <c r="Z105" s="22">
        <v>1</v>
      </c>
      <c r="AA105" s="22">
        <v>10000000</v>
      </c>
      <c r="AB105" s="22">
        <v>10000000</v>
      </c>
      <c r="AC105" s="22">
        <v>1000000</v>
      </c>
      <c r="AD105" s="9"/>
      <c r="AE105" s="9" t="str">
        <f t="shared" si="5"/>
        <v/>
      </c>
      <c r="AF105" s="23"/>
      <c r="AG105" s="23"/>
      <c r="AH105" s="23"/>
      <c r="AI105" s="23"/>
      <c r="AJ105" s="23"/>
      <c r="AK105" s="23"/>
      <c r="AL105" s="9"/>
      <c r="AM105" s="9" t="str">
        <f t="shared" si="6"/>
        <v/>
      </c>
      <c r="AN105" s="23"/>
      <c r="AO105" s="23"/>
      <c r="AP105" s="23"/>
      <c r="AQ105" s="23"/>
      <c r="AR105" s="23"/>
      <c r="AS105" s="23"/>
      <c r="AT105" s="9"/>
      <c r="AU105" s="9" t="str">
        <f t="shared" si="7"/>
        <v/>
      </c>
      <c r="AV105" s="23"/>
      <c r="AW105" s="23"/>
      <c r="AX105" s="23"/>
      <c r="AY105" s="23"/>
      <c r="AZ105" s="23"/>
      <c r="BA105" s="23"/>
      <c r="BB105" s="9"/>
    </row>
    <row r="106" spans="1:54" ht="67.5" x14ac:dyDescent="0.3">
      <c r="A106" s="8" t="s">
        <v>65</v>
      </c>
      <c r="B106" s="9" t="s">
        <v>66</v>
      </c>
      <c r="C106" s="22" t="s">
        <v>1618</v>
      </c>
      <c r="D106" s="9">
        <v>20260715</v>
      </c>
      <c r="E106" s="22">
        <v>160000</v>
      </c>
      <c r="F106" s="22">
        <v>16000</v>
      </c>
      <c r="G106" s="9">
        <v>176000</v>
      </c>
      <c r="H106" s="22" t="s">
        <v>165</v>
      </c>
      <c r="I106" s="8"/>
      <c r="J106" s="22" t="s">
        <v>983</v>
      </c>
      <c r="K106" s="22" t="s">
        <v>413</v>
      </c>
      <c r="L106" s="22" t="s">
        <v>984</v>
      </c>
      <c r="M106" s="22" t="s">
        <v>985</v>
      </c>
      <c r="N106" s="22" t="s">
        <v>986</v>
      </c>
      <c r="O106" s="22" t="s">
        <v>417</v>
      </c>
      <c r="P106" s="22" t="s">
        <v>420</v>
      </c>
      <c r="Q106" s="22" t="s">
        <v>418</v>
      </c>
      <c r="R106" s="22" t="s">
        <v>419</v>
      </c>
      <c r="S106" s="9"/>
      <c r="T106" s="9"/>
      <c r="U106" s="9"/>
      <c r="V106" s="9"/>
      <c r="W106" s="9" t="str">
        <f t="shared" si="4"/>
        <v>20260715</v>
      </c>
      <c r="X106" s="22" t="s">
        <v>1624</v>
      </c>
      <c r="Y106" s="23"/>
      <c r="Z106" s="22">
        <v>1</v>
      </c>
      <c r="AA106" s="22">
        <v>160000</v>
      </c>
      <c r="AB106" s="22">
        <v>160000</v>
      </c>
      <c r="AC106" s="22">
        <v>16000</v>
      </c>
      <c r="AD106" s="9"/>
      <c r="AE106" s="9" t="str">
        <f t="shared" si="5"/>
        <v/>
      </c>
      <c r="AF106" s="23"/>
      <c r="AG106" s="23"/>
      <c r="AH106" s="23"/>
      <c r="AI106" s="23"/>
      <c r="AJ106" s="23"/>
      <c r="AK106" s="23"/>
      <c r="AL106" s="9"/>
      <c r="AM106" s="9" t="str">
        <f t="shared" si="6"/>
        <v/>
      </c>
      <c r="AN106" s="23"/>
      <c r="AO106" s="23"/>
      <c r="AP106" s="23"/>
      <c r="AQ106" s="23"/>
      <c r="AR106" s="23"/>
      <c r="AS106" s="23"/>
      <c r="AT106" s="9"/>
      <c r="AU106" s="9" t="str">
        <f t="shared" si="7"/>
        <v/>
      </c>
      <c r="AV106" s="23"/>
      <c r="AW106" s="23"/>
      <c r="AX106" s="23"/>
      <c r="AY106" s="23"/>
      <c r="AZ106" s="23"/>
      <c r="BA106" s="23"/>
      <c r="BB106" s="9"/>
    </row>
    <row r="107" spans="1:54" ht="54" x14ac:dyDescent="0.3">
      <c r="A107" s="8" t="s">
        <v>65</v>
      </c>
      <c r="B107" s="9" t="s">
        <v>66</v>
      </c>
      <c r="C107" s="22" t="s">
        <v>1618</v>
      </c>
      <c r="D107" s="9">
        <v>20260715</v>
      </c>
      <c r="E107" s="22">
        <v>180000</v>
      </c>
      <c r="F107" s="22">
        <v>18000</v>
      </c>
      <c r="G107" s="9">
        <v>198000</v>
      </c>
      <c r="H107" s="22" t="s">
        <v>166</v>
      </c>
      <c r="I107" s="8"/>
      <c r="J107" s="22" t="s">
        <v>987</v>
      </c>
      <c r="K107" s="22" t="s">
        <v>988</v>
      </c>
      <c r="L107" s="22" t="s">
        <v>989</v>
      </c>
      <c r="M107" s="22" t="s">
        <v>990</v>
      </c>
      <c r="N107" s="22" t="s">
        <v>991</v>
      </c>
      <c r="O107" s="22" t="s">
        <v>992</v>
      </c>
      <c r="P107" s="22" t="s">
        <v>995</v>
      </c>
      <c r="Q107" s="22" t="s">
        <v>993</v>
      </c>
      <c r="R107" s="22" t="s">
        <v>994</v>
      </c>
      <c r="S107" s="9"/>
      <c r="T107" s="9"/>
      <c r="U107" s="9"/>
      <c r="V107" s="9"/>
      <c r="W107" s="9" t="str">
        <f t="shared" si="4"/>
        <v>20260715</v>
      </c>
      <c r="X107" s="22" t="s">
        <v>1625</v>
      </c>
      <c r="Y107" s="23"/>
      <c r="Z107" s="22">
        <v>1</v>
      </c>
      <c r="AA107" s="22">
        <v>180000</v>
      </c>
      <c r="AB107" s="22">
        <v>180000</v>
      </c>
      <c r="AC107" s="22">
        <v>18000</v>
      </c>
      <c r="AD107" s="9"/>
      <c r="AE107" s="9" t="str">
        <f t="shared" si="5"/>
        <v/>
      </c>
      <c r="AF107" s="23"/>
      <c r="AG107" s="23"/>
      <c r="AH107" s="23"/>
      <c r="AI107" s="23"/>
      <c r="AJ107" s="23"/>
      <c r="AK107" s="23"/>
      <c r="AL107" s="9"/>
      <c r="AM107" s="9" t="str">
        <f t="shared" si="6"/>
        <v/>
      </c>
      <c r="AN107" s="23"/>
      <c r="AO107" s="23"/>
      <c r="AP107" s="23"/>
      <c r="AQ107" s="23"/>
      <c r="AR107" s="23"/>
      <c r="AS107" s="23"/>
      <c r="AT107" s="9"/>
      <c r="AU107" s="9" t="str">
        <f t="shared" si="7"/>
        <v/>
      </c>
      <c r="AV107" s="23"/>
      <c r="AW107" s="23"/>
      <c r="AX107" s="23"/>
      <c r="AY107" s="23"/>
      <c r="AZ107" s="23"/>
      <c r="BA107" s="23"/>
      <c r="BB107" s="9"/>
    </row>
    <row r="108" spans="1:54" ht="67.5" x14ac:dyDescent="0.3">
      <c r="A108" s="8" t="s">
        <v>65</v>
      </c>
      <c r="B108" s="9" t="s">
        <v>66</v>
      </c>
      <c r="C108" s="22" t="s">
        <v>1618</v>
      </c>
      <c r="D108" s="9">
        <v>20260715</v>
      </c>
      <c r="E108" s="22">
        <v>1460040</v>
      </c>
      <c r="F108" s="22">
        <v>146004</v>
      </c>
      <c r="G108" s="9">
        <v>1606044</v>
      </c>
      <c r="H108" s="22" t="s">
        <v>167</v>
      </c>
      <c r="I108" s="8"/>
      <c r="J108" s="22" t="s">
        <v>996</v>
      </c>
      <c r="K108" s="22" t="s">
        <v>997</v>
      </c>
      <c r="L108" s="22" t="s">
        <v>998</v>
      </c>
      <c r="M108" s="22" t="s">
        <v>999</v>
      </c>
      <c r="N108" s="22" t="s">
        <v>1000</v>
      </c>
      <c r="O108" s="22" t="s">
        <v>1001</v>
      </c>
      <c r="P108" s="22" t="s">
        <v>1002</v>
      </c>
      <c r="Q108" s="22" t="s">
        <v>292</v>
      </c>
      <c r="R108" s="22" t="s">
        <v>292</v>
      </c>
      <c r="S108" s="9"/>
      <c r="T108" s="9"/>
      <c r="U108" s="9"/>
      <c r="V108" s="9"/>
      <c r="W108" s="9" t="str">
        <f t="shared" si="4"/>
        <v>20260715</v>
      </c>
      <c r="X108" s="22" t="s">
        <v>1637</v>
      </c>
      <c r="Y108" s="23"/>
      <c r="Z108" s="22">
        <v>1</v>
      </c>
      <c r="AA108" s="22">
        <v>684000</v>
      </c>
      <c r="AB108" s="22">
        <v>684000</v>
      </c>
      <c r="AC108" s="22">
        <v>68400</v>
      </c>
      <c r="AD108" s="9"/>
      <c r="AE108" s="9" t="str">
        <f t="shared" si="5"/>
        <v>20260715</v>
      </c>
      <c r="AF108" s="22" t="s">
        <v>1695</v>
      </c>
      <c r="AG108" s="23"/>
      <c r="AH108" s="22">
        <v>1</v>
      </c>
      <c r="AI108" s="22">
        <v>280000</v>
      </c>
      <c r="AJ108" s="22">
        <v>280000</v>
      </c>
      <c r="AK108" s="22">
        <v>28000</v>
      </c>
      <c r="AL108" s="9"/>
      <c r="AM108" s="9" t="str">
        <f t="shared" si="6"/>
        <v>20260715</v>
      </c>
      <c r="AN108" s="22" t="s">
        <v>1626</v>
      </c>
      <c r="AO108" s="23"/>
      <c r="AP108" s="22">
        <v>1</v>
      </c>
      <c r="AQ108" s="22">
        <v>496040</v>
      </c>
      <c r="AR108" s="22">
        <v>496040</v>
      </c>
      <c r="AS108" s="22">
        <v>49604</v>
      </c>
      <c r="AT108" s="9"/>
      <c r="AU108" s="9" t="str">
        <f t="shared" si="7"/>
        <v/>
      </c>
      <c r="AV108" s="23"/>
      <c r="AW108" s="23"/>
      <c r="AX108" s="23"/>
      <c r="AY108" s="23"/>
      <c r="AZ108" s="23"/>
      <c r="BA108" s="23"/>
      <c r="BB108" s="9"/>
    </row>
    <row r="109" spans="1:54" ht="67.5" x14ac:dyDescent="0.3">
      <c r="A109" s="8" t="s">
        <v>65</v>
      </c>
      <c r="B109" s="9" t="s">
        <v>66</v>
      </c>
      <c r="C109" s="22" t="s">
        <v>1618</v>
      </c>
      <c r="D109" s="9">
        <v>20260715</v>
      </c>
      <c r="E109" s="22">
        <v>171000</v>
      </c>
      <c r="F109" s="22">
        <v>17100</v>
      </c>
      <c r="G109" s="9">
        <v>188100</v>
      </c>
      <c r="H109" s="22" t="s">
        <v>159</v>
      </c>
      <c r="I109" s="8"/>
      <c r="J109" s="22" t="s">
        <v>942</v>
      </c>
      <c r="K109" s="22" t="s">
        <v>943</v>
      </c>
      <c r="L109" s="22" t="s">
        <v>944</v>
      </c>
      <c r="M109" s="22" t="s">
        <v>945</v>
      </c>
      <c r="N109" s="22" t="s">
        <v>946</v>
      </c>
      <c r="O109" s="22" t="s">
        <v>947</v>
      </c>
      <c r="P109" s="22" t="s">
        <v>948</v>
      </c>
      <c r="Q109" s="22" t="s">
        <v>292</v>
      </c>
      <c r="R109" s="22" t="s">
        <v>292</v>
      </c>
      <c r="S109" s="9"/>
      <c r="T109" s="9"/>
      <c r="U109" s="9"/>
      <c r="V109" s="9"/>
      <c r="W109" s="9" t="str">
        <f t="shared" si="4"/>
        <v>20260715</v>
      </c>
      <c r="X109" s="22" t="s">
        <v>1621</v>
      </c>
      <c r="Y109" s="23"/>
      <c r="Z109" s="22">
        <v>1</v>
      </c>
      <c r="AA109" s="22">
        <v>171000</v>
      </c>
      <c r="AB109" s="22">
        <v>171000</v>
      </c>
      <c r="AC109" s="22">
        <v>17100</v>
      </c>
      <c r="AD109" s="9"/>
      <c r="AE109" s="9" t="str">
        <f t="shared" si="5"/>
        <v/>
      </c>
      <c r="AF109" s="23"/>
      <c r="AG109" s="23"/>
      <c r="AH109" s="23"/>
      <c r="AI109" s="23"/>
      <c r="AJ109" s="23"/>
      <c r="AK109" s="23"/>
      <c r="AL109" s="9"/>
      <c r="AM109" s="9" t="str">
        <f t="shared" si="6"/>
        <v/>
      </c>
      <c r="AN109" s="23"/>
      <c r="AO109" s="23"/>
      <c r="AP109" s="23"/>
      <c r="AQ109" s="23"/>
      <c r="AR109" s="23"/>
      <c r="AS109" s="23"/>
      <c r="AT109" s="9"/>
      <c r="AU109" s="9" t="str">
        <f t="shared" si="7"/>
        <v/>
      </c>
      <c r="AV109" s="23"/>
      <c r="AW109" s="23"/>
      <c r="AX109" s="23"/>
      <c r="AY109" s="23"/>
      <c r="AZ109" s="23"/>
      <c r="BA109" s="23"/>
      <c r="BB109" s="9"/>
    </row>
    <row r="110" spans="1:54" ht="54" x14ac:dyDescent="0.3">
      <c r="A110" s="8" t="s">
        <v>65</v>
      </c>
      <c r="B110" s="9" t="s">
        <v>66</v>
      </c>
      <c r="C110" s="22" t="s">
        <v>1618</v>
      </c>
      <c r="D110" s="9">
        <v>20260715</v>
      </c>
      <c r="E110" s="22">
        <v>180000</v>
      </c>
      <c r="F110" s="22">
        <v>18000</v>
      </c>
      <c r="G110" s="9">
        <v>198000</v>
      </c>
      <c r="H110" s="22" t="s">
        <v>168</v>
      </c>
      <c r="I110" s="8"/>
      <c r="J110" s="22" t="s">
        <v>1003</v>
      </c>
      <c r="K110" s="22" t="s">
        <v>1004</v>
      </c>
      <c r="L110" s="22" t="s">
        <v>1005</v>
      </c>
      <c r="M110" s="22" t="s">
        <v>1006</v>
      </c>
      <c r="N110" s="22" t="s">
        <v>1007</v>
      </c>
      <c r="O110" s="22" t="s">
        <v>1008</v>
      </c>
      <c r="P110" s="22" t="s">
        <v>1011</v>
      </c>
      <c r="Q110" s="22" t="s">
        <v>1009</v>
      </c>
      <c r="R110" s="22" t="s">
        <v>1010</v>
      </c>
      <c r="S110" s="9"/>
      <c r="T110" s="9"/>
      <c r="U110" s="9"/>
      <c r="V110" s="9"/>
      <c r="W110" s="9" t="str">
        <f t="shared" si="4"/>
        <v>20260715</v>
      </c>
      <c r="X110" s="22" t="s">
        <v>1663</v>
      </c>
      <c r="Y110" s="23"/>
      <c r="Z110" s="22">
        <v>1</v>
      </c>
      <c r="AA110" s="22">
        <v>180000</v>
      </c>
      <c r="AB110" s="22">
        <v>180000</v>
      </c>
      <c r="AC110" s="22">
        <v>18000</v>
      </c>
      <c r="AD110" s="9"/>
      <c r="AE110" s="9" t="str">
        <f t="shared" si="5"/>
        <v/>
      </c>
      <c r="AF110" s="23"/>
      <c r="AG110" s="23"/>
      <c r="AH110" s="23"/>
      <c r="AI110" s="23"/>
      <c r="AJ110" s="23"/>
      <c r="AK110" s="23"/>
      <c r="AL110" s="9"/>
      <c r="AM110" s="9" t="str">
        <f t="shared" si="6"/>
        <v/>
      </c>
      <c r="AN110" s="23"/>
      <c r="AO110" s="23"/>
      <c r="AP110" s="23"/>
      <c r="AQ110" s="23"/>
      <c r="AR110" s="23"/>
      <c r="AS110" s="23"/>
      <c r="AT110" s="9"/>
      <c r="AU110" s="9" t="str">
        <f t="shared" si="7"/>
        <v/>
      </c>
      <c r="AV110" s="23"/>
      <c r="AW110" s="23"/>
      <c r="AX110" s="23"/>
      <c r="AY110" s="23"/>
      <c r="AZ110" s="23"/>
      <c r="BA110" s="23"/>
      <c r="BB110" s="9"/>
    </row>
    <row r="111" spans="1:54" ht="40.5" x14ac:dyDescent="0.3">
      <c r="A111" s="8" t="s">
        <v>65</v>
      </c>
      <c r="B111" s="9" t="s">
        <v>66</v>
      </c>
      <c r="C111" s="22" t="s">
        <v>1618</v>
      </c>
      <c r="D111" s="9">
        <v>20260715</v>
      </c>
      <c r="E111" s="22">
        <v>230000</v>
      </c>
      <c r="F111" s="22">
        <v>23000</v>
      </c>
      <c r="G111" s="9">
        <v>253000</v>
      </c>
      <c r="H111" s="22" t="s">
        <v>169</v>
      </c>
      <c r="I111" s="8"/>
      <c r="J111" s="22" t="s">
        <v>1012</v>
      </c>
      <c r="K111" s="22" t="s">
        <v>1013</v>
      </c>
      <c r="L111" s="22" t="s">
        <v>1014</v>
      </c>
      <c r="M111" s="22" t="s">
        <v>589</v>
      </c>
      <c r="N111" s="22" t="s">
        <v>1015</v>
      </c>
      <c r="O111" s="22" t="s">
        <v>1016</v>
      </c>
      <c r="P111" s="22" t="s">
        <v>1018</v>
      </c>
      <c r="Q111" s="22" t="s">
        <v>1017</v>
      </c>
      <c r="R111" s="22" t="s">
        <v>292</v>
      </c>
      <c r="S111" s="9"/>
      <c r="T111" s="9"/>
      <c r="U111" s="9"/>
      <c r="V111" s="9"/>
      <c r="W111" s="9" t="str">
        <f t="shared" si="4"/>
        <v>20260715</v>
      </c>
      <c r="X111" s="22" t="s">
        <v>1621</v>
      </c>
      <c r="Y111" s="23"/>
      <c r="Z111" s="22">
        <v>1</v>
      </c>
      <c r="AA111" s="22">
        <v>230000</v>
      </c>
      <c r="AB111" s="22">
        <v>230000</v>
      </c>
      <c r="AC111" s="22">
        <v>23000</v>
      </c>
      <c r="AD111" s="9"/>
      <c r="AE111" s="9" t="str">
        <f t="shared" si="5"/>
        <v/>
      </c>
      <c r="AF111" s="23"/>
      <c r="AG111" s="23"/>
      <c r="AH111" s="23"/>
      <c r="AI111" s="23"/>
      <c r="AJ111" s="23"/>
      <c r="AK111" s="23"/>
      <c r="AL111" s="9"/>
      <c r="AM111" s="9" t="str">
        <f t="shared" si="6"/>
        <v/>
      </c>
      <c r="AN111" s="23"/>
      <c r="AO111" s="23"/>
      <c r="AP111" s="23"/>
      <c r="AQ111" s="23"/>
      <c r="AR111" s="23"/>
      <c r="AS111" s="23"/>
      <c r="AT111" s="9"/>
      <c r="AU111" s="9" t="str">
        <f t="shared" si="7"/>
        <v/>
      </c>
      <c r="AV111" s="23"/>
      <c r="AW111" s="23"/>
      <c r="AX111" s="23"/>
      <c r="AY111" s="23"/>
      <c r="AZ111" s="23"/>
      <c r="BA111" s="23"/>
      <c r="BB111" s="9"/>
    </row>
    <row r="112" spans="1:54" ht="67.5" x14ac:dyDescent="0.3">
      <c r="A112" s="8" t="s">
        <v>65</v>
      </c>
      <c r="B112" s="9" t="s">
        <v>66</v>
      </c>
      <c r="C112" s="22" t="s">
        <v>1618</v>
      </c>
      <c r="D112" s="9">
        <v>20260715</v>
      </c>
      <c r="E112" s="22">
        <v>80000</v>
      </c>
      <c r="F112" s="22">
        <v>8000</v>
      </c>
      <c r="G112" s="9">
        <v>88000</v>
      </c>
      <c r="H112" s="22" t="s">
        <v>170</v>
      </c>
      <c r="I112" s="8"/>
      <c r="J112" s="22" t="s">
        <v>1019</v>
      </c>
      <c r="K112" s="22" t="s">
        <v>1020</v>
      </c>
      <c r="L112" s="22" t="s">
        <v>1021</v>
      </c>
      <c r="M112" s="22" t="s">
        <v>334</v>
      </c>
      <c r="N112" s="22" t="s">
        <v>1022</v>
      </c>
      <c r="O112" s="22" t="s">
        <v>1023</v>
      </c>
      <c r="P112" s="22" t="s">
        <v>1025</v>
      </c>
      <c r="Q112" s="22" t="s">
        <v>259</v>
      </c>
      <c r="R112" s="22" t="s">
        <v>1024</v>
      </c>
      <c r="S112" s="9"/>
      <c r="T112" s="9"/>
      <c r="U112" s="9"/>
      <c r="V112" s="9"/>
      <c r="W112" s="9" t="str">
        <f t="shared" si="4"/>
        <v>20260715</v>
      </c>
      <c r="X112" s="22" t="s">
        <v>1640</v>
      </c>
      <c r="Y112" s="23"/>
      <c r="Z112" s="22">
        <v>1</v>
      </c>
      <c r="AA112" s="22">
        <v>80000</v>
      </c>
      <c r="AB112" s="22">
        <v>80000</v>
      </c>
      <c r="AC112" s="22">
        <v>8000</v>
      </c>
      <c r="AD112" s="9"/>
      <c r="AE112" s="9" t="str">
        <f t="shared" si="5"/>
        <v/>
      </c>
      <c r="AF112" s="23"/>
      <c r="AG112" s="23"/>
      <c r="AH112" s="23"/>
      <c r="AI112" s="23"/>
      <c r="AJ112" s="23"/>
      <c r="AK112" s="23"/>
      <c r="AL112" s="9"/>
      <c r="AM112" s="9" t="str">
        <f t="shared" si="6"/>
        <v/>
      </c>
      <c r="AN112" s="23"/>
      <c r="AO112" s="23"/>
      <c r="AP112" s="23"/>
      <c r="AQ112" s="23"/>
      <c r="AR112" s="23"/>
      <c r="AS112" s="23"/>
      <c r="AT112" s="9"/>
      <c r="AU112" s="9" t="str">
        <f t="shared" si="7"/>
        <v/>
      </c>
      <c r="AV112" s="23"/>
      <c r="AW112" s="23"/>
      <c r="AX112" s="23"/>
      <c r="AY112" s="23"/>
      <c r="AZ112" s="23"/>
      <c r="BA112" s="23"/>
      <c r="BB112" s="9"/>
    </row>
    <row r="113" spans="1:54" ht="67.5" x14ac:dyDescent="0.3">
      <c r="A113" s="8" t="s">
        <v>65</v>
      </c>
      <c r="B113" s="9" t="s">
        <v>66</v>
      </c>
      <c r="C113" s="22" t="s">
        <v>1618</v>
      </c>
      <c r="D113" s="9">
        <v>20260715</v>
      </c>
      <c r="E113" s="22">
        <v>159000</v>
      </c>
      <c r="F113" s="22">
        <v>15900</v>
      </c>
      <c r="G113" s="9">
        <v>174900</v>
      </c>
      <c r="H113" s="22" t="s">
        <v>171</v>
      </c>
      <c r="I113" s="8"/>
      <c r="J113" s="22" t="s">
        <v>1026</v>
      </c>
      <c r="K113" s="22" t="s">
        <v>1027</v>
      </c>
      <c r="L113" s="22" t="s">
        <v>1028</v>
      </c>
      <c r="M113" s="22" t="s">
        <v>452</v>
      </c>
      <c r="N113" s="22" t="s">
        <v>1029</v>
      </c>
      <c r="O113" s="22" t="s">
        <v>1027</v>
      </c>
      <c r="P113" s="22" t="s">
        <v>1031</v>
      </c>
      <c r="Q113" s="22" t="s">
        <v>259</v>
      </c>
      <c r="R113" s="22" t="s">
        <v>1030</v>
      </c>
      <c r="S113" s="9"/>
      <c r="T113" s="9"/>
      <c r="U113" s="9"/>
      <c r="V113" s="9"/>
      <c r="W113" s="9" t="str">
        <f t="shared" si="4"/>
        <v>20260715</v>
      </c>
      <c r="X113" s="22" t="s">
        <v>1664</v>
      </c>
      <c r="Y113" s="23"/>
      <c r="Z113" s="22">
        <v>1</v>
      </c>
      <c r="AA113" s="22">
        <v>110000</v>
      </c>
      <c r="AB113" s="22">
        <v>110000</v>
      </c>
      <c r="AC113" s="22">
        <v>11000</v>
      </c>
      <c r="AD113" s="9"/>
      <c r="AE113" s="9" t="str">
        <f t="shared" si="5"/>
        <v>20260715</v>
      </c>
      <c r="AF113" s="22" t="s">
        <v>1696</v>
      </c>
      <c r="AG113" s="23"/>
      <c r="AH113" s="22">
        <v>1</v>
      </c>
      <c r="AI113" s="22">
        <v>49000</v>
      </c>
      <c r="AJ113" s="22">
        <v>49000</v>
      </c>
      <c r="AK113" s="22">
        <v>4900</v>
      </c>
      <c r="AL113" s="9"/>
      <c r="AM113" s="9" t="str">
        <f t="shared" si="6"/>
        <v/>
      </c>
      <c r="AN113" s="23"/>
      <c r="AO113" s="23"/>
      <c r="AP113" s="23"/>
      <c r="AQ113" s="23"/>
      <c r="AR113" s="23"/>
      <c r="AS113" s="23"/>
      <c r="AT113" s="9"/>
      <c r="AU113" s="9" t="str">
        <f t="shared" si="7"/>
        <v/>
      </c>
      <c r="AV113" s="23"/>
      <c r="AW113" s="23"/>
      <c r="AX113" s="23"/>
      <c r="AY113" s="23"/>
      <c r="AZ113" s="23"/>
      <c r="BA113" s="23"/>
      <c r="BB113" s="9"/>
    </row>
    <row r="114" spans="1:54" ht="54" x14ac:dyDescent="0.3">
      <c r="A114" s="8" t="s">
        <v>65</v>
      </c>
      <c r="B114" s="9" t="s">
        <v>66</v>
      </c>
      <c r="C114" s="22" t="s">
        <v>1618</v>
      </c>
      <c r="D114" s="9">
        <v>20260715</v>
      </c>
      <c r="E114" s="22">
        <v>390000</v>
      </c>
      <c r="F114" s="22">
        <v>39000</v>
      </c>
      <c r="G114" s="9">
        <v>429000</v>
      </c>
      <c r="H114" s="22" t="s">
        <v>172</v>
      </c>
      <c r="I114" s="8"/>
      <c r="J114" s="22" t="s">
        <v>1032</v>
      </c>
      <c r="K114" s="22" t="s">
        <v>1033</v>
      </c>
      <c r="L114" s="22" t="s">
        <v>1034</v>
      </c>
      <c r="M114" s="22" t="s">
        <v>1035</v>
      </c>
      <c r="N114" s="22" t="s">
        <v>1036</v>
      </c>
      <c r="O114" s="22" t="s">
        <v>1037</v>
      </c>
      <c r="P114" s="22" t="s">
        <v>1040</v>
      </c>
      <c r="Q114" s="22" t="s">
        <v>1038</v>
      </c>
      <c r="R114" s="22" t="s">
        <v>1039</v>
      </c>
      <c r="S114" s="9"/>
      <c r="T114" s="9"/>
      <c r="U114" s="9"/>
      <c r="V114" s="9"/>
      <c r="W114" s="9" t="str">
        <f t="shared" si="4"/>
        <v>20260715</v>
      </c>
      <c r="X114" s="22" t="s">
        <v>1631</v>
      </c>
      <c r="Y114" s="23"/>
      <c r="Z114" s="22">
        <v>1</v>
      </c>
      <c r="AA114" s="22">
        <v>100000</v>
      </c>
      <c r="AB114" s="22">
        <v>100000</v>
      </c>
      <c r="AC114" s="22">
        <v>10000</v>
      </c>
      <c r="AD114" s="9"/>
      <c r="AE114" s="9" t="str">
        <f t="shared" si="5"/>
        <v>20260715</v>
      </c>
      <c r="AF114" s="22" t="s">
        <v>1660</v>
      </c>
      <c r="AG114" s="23"/>
      <c r="AH114" s="22">
        <v>1</v>
      </c>
      <c r="AI114" s="22">
        <v>290000</v>
      </c>
      <c r="AJ114" s="22">
        <v>290000</v>
      </c>
      <c r="AK114" s="22">
        <v>29000</v>
      </c>
      <c r="AL114" s="9"/>
      <c r="AM114" s="9" t="str">
        <f t="shared" si="6"/>
        <v/>
      </c>
      <c r="AN114" s="23"/>
      <c r="AO114" s="23"/>
      <c r="AP114" s="23"/>
      <c r="AQ114" s="23"/>
      <c r="AR114" s="23"/>
      <c r="AS114" s="23"/>
      <c r="AT114" s="9"/>
      <c r="AU114" s="9" t="str">
        <f t="shared" si="7"/>
        <v/>
      </c>
      <c r="AV114" s="23"/>
      <c r="AW114" s="23"/>
      <c r="AX114" s="23"/>
      <c r="AY114" s="23"/>
      <c r="AZ114" s="23"/>
      <c r="BA114" s="23"/>
      <c r="BB114" s="9"/>
    </row>
    <row r="115" spans="1:54" ht="54" x14ac:dyDescent="0.3">
      <c r="A115" s="8" t="s">
        <v>65</v>
      </c>
      <c r="B115" s="9" t="s">
        <v>66</v>
      </c>
      <c r="C115" s="22" t="s">
        <v>1618</v>
      </c>
      <c r="D115" s="9">
        <v>20260715</v>
      </c>
      <c r="E115" s="22">
        <v>80300</v>
      </c>
      <c r="F115" s="22">
        <v>8030</v>
      </c>
      <c r="G115" s="9">
        <v>88330</v>
      </c>
      <c r="H115" s="22" t="s">
        <v>173</v>
      </c>
      <c r="I115" s="8"/>
      <c r="J115" s="22" t="s">
        <v>1041</v>
      </c>
      <c r="K115" s="22" t="s">
        <v>1042</v>
      </c>
      <c r="L115" s="22" t="s">
        <v>1043</v>
      </c>
      <c r="M115" s="22" t="s">
        <v>1044</v>
      </c>
      <c r="N115" s="22" t="s">
        <v>1045</v>
      </c>
      <c r="O115" s="22" t="s">
        <v>1046</v>
      </c>
      <c r="P115" s="22" t="s">
        <v>1049</v>
      </c>
      <c r="Q115" s="22" t="s">
        <v>1047</v>
      </c>
      <c r="R115" s="22" t="s">
        <v>1048</v>
      </c>
      <c r="S115" s="9"/>
      <c r="T115" s="9"/>
      <c r="U115" s="9"/>
      <c r="V115" s="9"/>
      <c r="W115" s="9" t="str">
        <f t="shared" si="4"/>
        <v>20260715</v>
      </c>
      <c r="X115" s="22" t="s">
        <v>1665</v>
      </c>
      <c r="Y115" s="23"/>
      <c r="Z115" s="22">
        <v>1</v>
      </c>
      <c r="AA115" s="22">
        <v>80300</v>
      </c>
      <c r="AB115" s="22">
        <v>80300</v>
      </c>
      <c r="AC115" s="22">
        <v>8030</v>
      </c>
      <c r="AD115" s="9"/>
      <c r="AE115" s="9" t="str">
        <f t="shared" si="5"/>
        <v/>
      </c>
      <c r="AF115" s="23"/>
      <c r="AG115" s="23"/>
      <c r="AH115" s="23"/>
      <c r="AI115" s="23"/>
      <c r="AJ115" s="23"/>
      <c r="AK115" s="23"/>
      <c r="AL115" s="9"/>
      <c r="AM115" s="9" t="str">
        <f t="shared" si="6"/>
        <v/>
      </c>
      <c r="AN115" s="23"/>
      <c r="AO115" s="23"/>
      <c r="AP115" s="23"/>
      <c r="AQ115" s="23"/>
      <c r="AR115" s="23"/>
      <c r="AS115" s="23"/>
      <c r="AT115" s="9"/>
      <c r="AU115" s="9" t="str">
        <f t="shared" si="7"/>
        <v/>
      </c>
      <c r="AV115" s="23"/>
      <c r="AW115" s="23"/>
      <c r="AX115" s="23"/>
      <c r="AY115" s="23"/>
      <c r="AZ115" s="23"/>
      <c r="BA115" s="23"/>
      <c r="BB115" s="9"/>
    </row>
    <row r="116" spans="1:54" ht="67.5" x14ac:dyDescent="0.3">
      <c r="A116" s="8" t="s">
        <v>65</v>
      </c>
      <c r="B116" s="9" t="s">
        <v>66</v>
      </c>
      <c r="C116" s="22" t="s">
        <v>1618</v>
      </c>
      <c r="D116" s="9">
        <v>20260715</v>
      </c>
      <c r="E116" s="22">
        <v>146500</v>
      </c>
      <c r="F116" s="22">
        <v>14650</v>
      </c>
      <c r="G116" s="9">
        <v>161150</v>
      </c>
      <c r="H116" s="22" t="s">
        <v>174</v>
      </c>
      <c r="I116" s="8"/>
      <c r="J116" s="22" t="s">
        <v>1050</v>
      </c>
      <c r="K116" s="22" t="s">
        <v>1051</v>
      </c>
      <c r="L116" s="22" t="s">
        <v>1052</v>
      </c>
      <c r="M116" s="22" t="s">
        <v>273</v>
      </c>
      <c r="N116" s="22" t="s">
        <v>1053</v>
      </c>
      <c r="O116" s="22" t="s">
        <v>1054</v>
      </c>
      <c r="P116" s="22" t="s">
        <v>1057</v>
      </c>
      <c r="Q116" s="22" t="s">
        <v>1055</v>
      </c>
      <c r="R116" s="22" t="s">
        <v>1056</v>
      </c>
      <c r="S116" s="9"/>
      <c r="T116" s="9"/>
      <c r="U116" s="9"/>
      <c r="V116" s="9"/>
      <c r="W116" s="9" t="str">
        <f t="shared" si="4"/>
        <v>20260715</v>
      </c>
      <c r="X116" s="22" t="s">
        <v>1621</v>
      </c>
      <c r="Y116" s="23"/>
      <c r="Z116" s="22">
        <v>1</v>
      </c>
      <c r="AA116" s="22">
        <v>146500</v>
      </c>
      <c r="AB116" s="22">
        <v>146500</v>
      </c>
      <c r="AC116" s="22">
        <v>14650</v>
      </c>
      <c r="AD116" s="9"/>
      <c r="AE116" s="9" t="str">
        <f t="shared" si="5"/>
        <v/>
      </c>
      <c r="AF116" s="23"/>
      <c r="AG116" s="23"/>
      <c r="AH116" s="23"/>
      <c r="AI116" s="23"/>
      <c r="AJ116" s="23"/>
      <c r="AK116" s="23"/>
      <c r="AL116" s="9"/>
      <c r="AM116" s="9" t="str">
        <f t="shared" si="6"/>
        <v/>
      </c>
      <c r="AN116" s="23"/>
      <c r="AO116" s="23"/>
      <c r="AP116" s="23"/>
      <c r="AQ116" s="23"/>
      <c r="AR116" s="23"/>
      <c r="AS116" s="23"/>
      <c r="AT116" s="9"/>
      <c r="AU116" s="9" t="str">
        <f t="shared" si="7"/>
        <v/>
      </c>
      <c r="AV116" s="23"/>
      <c r="AW116" s="23"/>
      <c r="AX116" s="23"/>
      <c r="AY116" s="23"/>
      <c r="AZ116" s="23"/>
      <c r="BA116" s="23"/>
      <c r="BB116" s="9"/>
    </row>
    <row r="117" spans="1:54" ht="40.5" x14ac:dyDescent="0.3">
      <c r="A117" s="8" t="s">
        <v>65</v>
      </c>
      <c r="B117" s="9" t="s">
        <v>66</v>
      </c>
      <c r="C117" s="22" t="s">
        <v>1618</v>
      </c>
      <c r="D117" s="9">
        <v>20260715</v>
      </c>
      <c r="E117" s="22">
        <v>50000</v>
      </c>
      <c r="F117" s="22">
        <v>5000</v>
      </c>
      <c r="G117" s="9">
        <v>55000</v>
      </c>
      <c r="H117" s="22" t="s">
        <v>144</v>
      </c>
      <c r="I117" s="8"/>
      <c r="J117" s="22" t="s">
        <v>830</v>
      </c>
      <c r="K117" s="22" t="s">
        <v>831</v>
      </c>
      <c r="L117" s="22" t="s">
        <v>832</v>
      </c>
      <c r="M117" s="22" t="s">
        <v>833</v>
      </c>
      <c r="N117" s="22" t="s">
        <v>834</v>
      </c>
      <c r="O117" s="22" t="s">
        <v>835</v>
      </c>
      <c r="P117" s="22" t="s">
        <v>837</v>
      </c>
      <c r="Q117" s="22" t="s">
        <v>292</v>
      </c>
      <c r="R117" s="22" t="s">
        <v>292</v>
      </c>
      <c r="S117" s="9"/>
      <c r="T117" s="9"/>
      <c r="U117" s="9"/>
      <c r="V117" s="9"/>
      <c r="W117" s="9" t="str">
        <f t="shared" si="4"/>
        <v>20260715</v>
      </c>
      <c r="X117" s="22" t="s">
        <v>1662</v>
      </c>
      <c r="Y117" s="23"/>
      <c r="Z117" s="22">
        <v>1</v>
      </c>
      <c r="AA117" s="22">
        <v>50000</v>
      </c>
      <c r="AB117" s="22">
        <v>50000</v>
      </c>
      <c r="AC117" s="22">
        <v>5000</v>
      </c>
      <c r="AD117" s="9"/>
      <c r="AE117" s="9" t="str">
        <f t="shared" si="5"/>
        <v/>
      </c>
      <c r="AF117" s="23"/>
      <c r="AG117" s="23"/>
      <c r="AH117" s="23"/>
      <c r="AI117" s="23"/>
      <c r="AJ117" s="23"/>
      <c r="AK117" s="23"/>
      <c r="AL117" s="9"/>
      <c r="AM117" s="9" t="str">
        <f t="shared" si="6"/>
        <v/>
      </c>
      <c r="AN117" s="23"/>
      <c r="AO117" s="23"/>
      <c r="AP117" s="23"/>
      <c r="AQ117" s="23"/>
      <c r="AR117" s="23"/>
      <c r="AS117" s="23"/>
      <c r="AT117" s="9"/>
      <c r="AU117" s="9" t="str">
        <f t="shared" si="7"/>
        <v/>
      </c>
      <c r="AV117" s="23"/>
      <c r="AW117" s="23"/>
      <c r="AX117" s="23"/>
      <c r="AY117" s="23"/>
      <c r="AZ117" s="23"/>
      <c r="BA117" s="23"/>
      <c r="BB117" s="9"/>
    </row>
    <row r="118" spans="1:54" ht="54" x14ac:dyDescent="0.3">
      <c r="A118" s="8" t="s">
        <v>65</v>
      </c>
      <c r="B118" s="9" t="s">
        <v>66</v>
      </c>
      <c r="C118" s="22" t="s">
        <v>1618</v>
      </c>
      <c r="D118" s="9">
        <v>20260715</v>
      </c>
      <c r="E118" s="22">
        <v>52000</v>
      </c>
      <c r="F118" s="22">
        <v>5200</v>
      </c>
      <c r="G118" s="9">
        <v>57200</v>
      </c>
      <c r="H118" s="22" t="s">
        <v>175</v>
      </c>
      <c r="I118" s="8"/>
      <c r="J118" s="22" t="s">
        <v>1058</v>
      </c>
      <c r="K118" s="22" t="s">
        <v>950</v>
      </c>
      <c r="L118" s="22" t="s">
        <v>1059</v>
      </c>
      <c r="M118" s="22" t="s">
        <v>542</v>
      </c>
      <c r="N118" s="22" t="s">
        <v>1060</v>
      </c>
      <c r="O118" s="22" t="s">
        <v>950</v>
      </c>
      <c r="P118" s="22" t="s">
        <v>1062</v>
      </c>
      <c r="Q118" s="22" t="s">
        <v>1061</v>
      </c>
      <c r="R118" s="22" t="s">
        <v>954</v>
      </c>
      <c r="S118" s="9"/>
      <c r="T118" s="9"/>
      <c r="U118" s="9"/>
      <c r="V118" s="9"/>
      <c r="W118" s="9" t="str">
        <f t="shared" si="4"/>
        <v>20260715</v>
      </c>
      <c r="X118" s="22" t="s">
        <v>1647</v>
      </c>
      <c r="Y118" s="23"/>
      <c r="Z118" s="22">
        <v>1</v>
      </c>
      <c r="AA118" s="22">
        <v>52000</v>
      </c>
      <c r="AB118" s="22">
        <v>52000</v>
      </c>
      <c r="AC118" s="22">
        <v>5200</v>
      </c>
      <c r="AD118" s="9"/>
      <c r="AE118" s="9" t="str">
        <f t="shared" si="5"/>
        <v/>
      </c>
      <c r="AF118" s="23"/>
      <c r="AG118" s="23"/>
      <c r="AH118" s="23"/>
      <c r="AI118" s="23"/>
      <c r="AJ118" s="23"/>
      <c r="AK118" s="23"/>
      <c r="AL118" s="9"/>
      <c r="AM118" s="9" t="str">
        <f t="shared" si="6"/>
        <v/>
      </c>
      <c r="AN118" s="23"/>
      <c r="AO118" s="23"/>
      <c r="AP118" s="23"/>
      <c r="AQ118" s="23"/>
      <c r="AR118" s="23"/>
      <c r="AS118" s="23"/>
      <c r="AT118" s="9"/>
      <c r="AU118" s="9" t="str">
        <f t="shared" si="7"/>
        <v/>
      </c>
      <c r="AV118" s="23"/>
      <c r="AW118" s="23"/>
      <c r="AX118" s="23"/>
      <c r="AY118" s="23"/>
      <c r="AZ118" s="23"/>
      <c r="BA118" s="23"/>
      <c r="BB118" s="9"/>
    </row>
    <row r="119" spans="1:54" ht="81" x14ac:dyDescent="0.3">
      <c r="A119" s="8" t="s">
        <v>65</v>
      </c>
      <c r="B119" s="9" t="s">
        <v>66</v>
      </c>
      <c r="C119" s="22" t="s">
        <v>1618</v>
      </c>
      <c r="D119" s="9">
        <v>20260715</v>
      </c>
      <c r="E119" s="22">
        <v>50000</v>
      </c>
      <c r="F119" s="22">
        <v>5000</v>
      </c>
      <c r="G119" s="9">
        <v>55000</v>
      </c>
      <c r="H119" s="22" t="s">
        <v>176</v>
      </c>
      <c r="I119" s="8"/>
      <c r="J119" s="22" t="s">
        <v>1063</v>
      </c>
      <c r="K119" s="22" t="s">
        <v>1064</v>
      </c>
      <c r="L119" s="22" t="s">
        <v>1065</v>
      </c>
      <c r="M119" s="22" t="s">
        <v>479</v>
      </c>
      <c r="N119" s="22" t="s">
        <v>1066</v>
      </c>
      <c r="O119" s="22" t="s">
        <v>1067</v>
      </c>
      <c r="P119" s="22" t="s">
        <v>471</v>
      </c>
      <c r="Q119" s="22" t="s">
        <v>470</v>
      </c>
      <c r="R119" s="22" t="s">
        <v>470</v>
      </c>
      <c r="S119" s="9"/>
      <c r="T119" s="9"/>
      <c r="U119" s="9"/>
      <c r="V119" s="9"/>
      <c r="W119" s="9" t="str">
        <f t="shared" si="4"/>
        <v>20260715</v>
      </c>
      <c r="X119" s="22" t="s">
        <v>1640</v>
      </c>
      <c r="Y119" s="23"/>
      <c r="Z119" s="22">
        <v>1</v>
      </c>
      <c r="AA119" s="22">
        <v>50000</v>
      </c>
      <c r="AB119" s="22">
        <v>50000</v>
      </c>
      <c r="AC119" s="22">
        <v>5000</v>
      </c>
      <c r="AD119" s="9"/>
      <c r="AE119" s="9" t="str">
        <f t="shared" si="5"/>
        <v/>
      </c>
      <c r="AF119" s="23"/>
      <c r="AG119" s="23"/>
      <c r="AH119" s="23"/>
      <c r="AI119" s="23"/>
      <c r="AJ119" s="23"/>
      <c r="AK119" s="23"/>
      <c r="AL119" s="9"/>
      <c r="AM119" s="9" t="str">
        <f t="shared" si="6"/>
        <v/>
      </c>
      <c r="AN119" s="23"/>
      <c r="AO119" s="23"/>
      <c r="AP119" s="23"/>
      <c r="AQ119" s="23"/>
      <c r="AR119" s="23"/>
      <c r="AS119" s="23"/>
      <c r="AT119" s="9"/>
      <c r="AU119" s="9" t="str">
        <f t="shared" si="7"/>
        <v/>
      </c>
      <c r="AV119" s="23"/>
      <c r="AW119" s="23"/>
      <c r="AX119" s="23"/>
      <c r="AY119" s="23"/>
      <c r="AZ119" s="23"/>
      <c r="BA119" s="23"/>
      <c r="BB119" s="9"/>
    </row>
    <row r="120" spans="1:54" ht="67.5" x14ac:dyDescent="0.3">
      <c r="A120" s="8" t="s">
        <v>65</v>
      </c>
      <c r="B120" s="9" t="s">
        <v>66</v>
      </c>
      <c r="C120" s="22" t="s">
        <v>1618</v>
      </c>
      <c r="D120" s="9">
        <v>20260715</v>
      </c>
      <c r="E120" s="22">
        <v>1101700</v>
      </c>
      <c r="F120" s="22">
        <v>110170</v>
      </c>
      <c r="G120" s="9">
        <v>1211870</v>
      </c>
      <c r="H120" s="22" t="s">
        <v>177</v>
      </c>
      <c r="I120" s="8"/>
      <c r="J120" s="22" t="s">
        <v>1068</v>
      </c>
      <c r="K120" s="22" t="s">
        <v>1069</v>
      </c>
      <c r="L120" s="22" t="s">
        <v>1070</v>
      </c>
      <c r="M120" s="22" t="s">
        <v>312</v>
      </c>
      <c r="N120" s="22" t="s">
        <v>1071</v>
      </c>
      <c r="O120" s="22" t="s">
        <v>1072</v>
      </c>
      <c r="P120" s="22" t="s">
        <v>1075</v>
      </c>
      <c r="Q120" s="22" t="s">
        <v>1073</v>
      </c>
      <c r="R120" s="22" t="s">
        <v>1074</v>
      </c>
      <c r="S120" s="9"/>
      <c r="T120" s="9"/>
      <c r="U120" s="9"/>
      <c r="V120" s="9"/>
      <c r="W120" s="9" t="str">
        <f t="shared" si="4"/>
        <v>20260715</v>
      </c>
      <c r="X120" s="22" t="s">
        <v>1631</v>
      </c>
      <c r="Y120" s="23"/>
      <c r="Z120" s="22">
        <v>1</v>
      </c>
      <c r="AA120" s="22">
        <v>100000</v>
      </c>
      <c r="AB120" s="22">
        <v>100000</v>
      </c>
      <c r="AC120" s="22">
        <v>10000</v>
      </c>
      <c r="AD120" s="9"/>
      <c r="AE120" s="9" t="str">
        <f t="shared" si="5"/>
        <v>20260715</v>
      </c>
      <c r="AF120" s="22" t="s">
        <v>1697</v>
      </c>
      <c r="AG120" s="23"/>
      <c r="AH120" s="22">
        <v>1</v>
      </c>
      <c r="AI120" s="22">
        <v>800000</v>
      </c>
      <c r="AJ120" s="22">
        <v>800000</v>
      </c>
      <c r="AK120" s="22">
        <v>80000</v>
      </c>
      <c r="AL120" s="9"/>
      <c r="AM120" s="9" t="str">
        <f t="shared" si="6"/>
        <v>20260715</v>
      </c>
      <c r="AN120" s="22" t="s">
        <v>1643</v>
      </c>
      <c r="AO120" s="23"/>
      <c r="AP120" s="22">
        <v>1</v>
      </c>
      <c r="AQ120" s="22">
        <v>201700</v>
      </c>
      <c r="AR120" s="22">
        <v>201700</v>
      </c>
      <c r="AS120" s="22">
        <v>20170</v>
      </c>
      <c r="AT120" s="9"/>
      <c r="AU120" s="9" t="str">
        <f t="shared" si="7"/>
        <v/>
      </c>
      <c r="AV120" s="23"/>
      <c r="AW120" s="23"/>
      <c r="AX120" s="23"/>
      <c r="AY120" s="23"/>
      <c r="AZ120" s="23"/>
      <c r="BA120" s="23"/>
      <c r="BB120" s="9"/>
    </row>
    <row r="121" spans="1:54" ht="40.5" x14ac:dyDescent="0.3">
      <c r="A121" s="8" t="s">
        <v>65</v>
      </c>
      <c r="B121" s="9" t="s">
        <v>66</v>
      </c>
      <c r="C121" s="22" t="s">
        <v>1618</v>
      </c>
      <c r="D121" s="9">
        <v>20260715</v>
      </c>
      <c r="E121" s="22">
        <v>170000</v>
      </c>
      <c r="F121" s="22">
        <v>17000</v>
      </c>
      <c r="G121" s="9">
        <v>187000</v>
      </c>
      <c r="H121" s="22" t="s">
        <v>90</v>
      </c>
      <c r="I121" s="8"/>
      <c r="J121" s="22" t="s">
        <v>430</v>
      </c>
      <c r="K121" s="22" t="s">
        <v>431</v>
      </c>
      <c r="L121" s="22" t="s">
        <v>432</v>
      </c>
      <c r="M121" s="22" t="s">
        <v>433</v>
      </c>
      <c r="N121" s="22" t="s">
        <v>434</v>
      </c>
      <c r="O121" s="22" t="s">
        <v>435</v>
      </c>
      <c r="P121" s="22" t="s">
        <v>436</v>
      </c>
      <c r="Q121" s="22" t="s">
        <v>292</v>
      </c>
      <c r="R121" s="22" t="s">
        <v>292</v>
      </c>
      <c r="S121" s="9"/>
      <c r="T121" s="9"/>
      <c r="U121" s="9"/>
      <c r="V121" s="9"/>
      <c r="W121" s="9" t="str">
        <f t="shared" si="4"/>
        <v>20260715</v>
      </c>
      <c r="X121" s="22" t="s">
        <v>1637</v>
      </c>
      <c r="Y121" s="23"/>
      <c r="Z121" s="22">
        <v>1</v>
      </c>
      <c r="AA121" s="22">
        <v>170000</v>
      </c>
      <c r="AB121" s="22">
        <v>170000</v>
      </c>
      <c r="AC121" s="22">
        <v>17000</v>
      </c>
      <c r="AD121" s="9"/>
      <c r="AE121" s="9" t="str">
        <f t="shared" si="5"/>
        <v/>
      </c>
      <c r="AF121" s="23"/>
      <c r="AG121" s="23"/>
      <c r="AH121" s="23"/>
      <c r="AI121" s="23"/>
      <c r="AJ121" s="23"/>
      <c r="AK121" s="23"/>
      <c r="AL121" s="9"/>
      <c r="AM121" s="9" t="str">
        <f t="shared" si="6"/>
        <v/>
      </c>
      <c r="AN121" s="23"/>
      <c r="AO121" s="23"/>
      <c r="AP121" s="23"/>
      <c r="AQ121" s="23"/>
      <c r="AR121" s="23"/>
      <c r="AS121" s="23"/>
      <c r="AT121" s="9"/>
      <c r="AU121" s="9" t="str">
        <f t="shared" si="7"/>
        <v/>
      </c>
      <c r="AV121" s="23"/>
      <c r="AW121" s="23"/>
      <c r="AX121" s="23"/>
      <c r="AY121" s="23"/>
      <c r="AZ121" s="23"/>
      <c r="BA121" s="23"/>
      <c r="BB121" s="9"/>
    </row>
    <row r="122" spans="1:54" ht="54" x14ac:dyDescent="0.3">
      <c r="A122" s="8" t="s">
        <v>65</v>
      </c>
      <c r="B122" s="9" t="s">
        <v>66</v>
      </c>
      <c r="C122" s="22" t="s">
        <v>1618</v>
      </c>
      <c r="D122" s="9">
        <v>20260715</v>
      </c>
      <c r="E122" s="22">
        <v>200000</v>
      </c>
      <c r="F122" s="22">
        <v>20000</v>
      </c>
      <c r="G122" s="9">
        <v>220000</v>
      </c>
      <c r="H122" s="22" t="s">
        <v>178</v>
      </c>
      <c r="I122" s="8"/>
      <c r="J122" s="22" t="s">
        <v>1076</v>
      </c>
      <c r="K122" s="22" t="s">
        <v>1077</v>
      </c>
      <c r="L122" s="22" t="s">
        <v>1078</v>
      </c>
      <c r="M122" s="22" t="s">
        <v>972</v>
      </c>
      <c r="N122" s="22" t="s">
        <v>1079</v>
      </c>
      <c r="O122" s="22" t="s">
        <v>1080</v>
      </c>
      <c r="P122" s="22" t="s">
        <v>1083</v>
      </c>
      <c r="Q122" s="22" t="s">
        <v>1081</v>
      </c>
      <c r="R122" s="22" t="s">
        <v>1082</v>
      </c>
      <c r="S122" s="9"/>
      <c r="T122" s="9"/>
      <c r="U122" s="9"/>
      <c r="V122" s="9"/>
      <c r="W122" s="9" t="str">
        <f t="shared" si="4"/>
        <v>20260715</v>
      </c>
      <c r="X122" s="22" t="s">
        <v>1666</v>
      </c>
      <c r="Y122" s="23"/>
      <c r="Z122" s="22">
        <v>1</v>
      </c>
      <c r="AA122" s="22">
        <v>50000</v>
      </c>
      <c r="AB122" s="22">
        <v>50000</v>
      </c>
      <c r="AC122" s="22">
        <v>5000</v>
      </c>
      <c r="AD122" s="9"/>
      <c r="AE122" s="9" t="str">
        <f t="shared" si="5"/>
        <v>20260715</v>
      </c>
      <c r="AF122" s="22" t="s">
        <v>1682</v>
      </c>
      <c r="AG122" s="23"/>
      <c r="AH122" s="22">
        <v>1</v>
      </c>
      <c r="AI122" s="22">
        <v>50000</v>
      </c>
      <c r="AJ122" s="22">
        <v>50000</v>
      </c>
      <c r="AK122" s="22">
        <v>5000</v>
      </c>
      <c r="AL122" s="9"/>
      <c r="AM122" s="9" t="str">
        <f t="shared" si="6"/>
        <v>20260715</v>
      </c>
      <c r="AN122" s="22" t="s">
        <v>1685</v>
      </c>
      <c r="AO122" s="23"/>
      <c r="AP122" s="22">
        <v>1</v>
      </c>
      <c r="AQ122" s="22">
        <v>50000</v>
      </c>
      <c r="AR122" s="22">
        <v>50000</v>
      </c>
      <c r="AS122" s="22">
        <v>5000</v>
      </c>
      <c r="AT122" s="9"/>
      <c r="AU122" s="9" t="str">
        <f t="shared" si="7"/>
        <v>20260715</v>
      </c>
      <c r="AV122" s="22" t="s">
        <v>1707</v>
      </c>
      <c r="AW122" s="23"/>
      <c r="AX122" s="22">
        <v>1</v>
      </c>
      <c r="AY122" s="22">
        <v>50000</v>
      </c>
      <c r="AZ122" s="22">
        <v>50000</v>
      </c>
      <c r="BA122" s="22">
        <v>5000</v>
      </c>
      <c r="BB122" s="9"/>
    </row>
    <row r="123" spans="1:54" ht="94.5" x14ac:dyDescent="0.3">
      <c r="A123" s="8" t="s">
        <v>65</v>
      </c>
      <c r="B123" s="9" t="s">
        <v>66</v>
      </c>
      <c r="C123" s="22" t="s">
        <v>1618</v>
      </c>
      <c r="D123" s="9">
        <v>20260715</v>
      </c>
      <c r="E123" s="22">
        <v>138000</v>
      </c>
      <c r="F123" s="22">
        <v>13800</v>
      </c>
      <c r="G123" s="9">
        <v>151800</v>
      </c>
      <c r="H123" s="22" t="s">
        <v>179</v>
      </c>
      <c r="I123" s="8"/>
      <c r="J123" s="22" t="s">
        <v>1084</v>
      </c>
      <c r="K123" s="22" t="s">
        <v>1085</v>
      </c>
      <c r="L123" s="22" t="s">
        <v>1086</v>
      </c>
      <c r="M123" s="22" t="s">
        <v>990</v>
      </c>
      <c r="N123" s="22" t="s">
        <v>991</v>
      </c>
      <c r="O123" s="22" t="s">
        <v>1087</v>
      </c>
      <c r="P123" s="22" t="s">
        <v>1090</v>
      </c>
      <c r="Q123" s="22" t="s">
        <v>1088</v>
      </c>
      <c r="R123" s="22" t="s">
        <v>1089</v>
      </c>
      <c r="S123" s="9"/>
      <c r="T123" s="9"/>
      <c r="U123" s="9"/>
      <c r="V123" s="9"/>
      <c r="W123" s="9" t="str">
        <f t="shared" si="4"/>
        <v>20260715</v>
      </c>
      <c r="X123" s="22" t="s">
        <v>1626</v>
      </c>
      <c r="Y123" s="23"/>
      <c r="Z123" s="22">
        <v>1</v>
      </c>
      <c r="AA123" s="22">
        <v>138000</v>
      </c>
      <c r="AB123" s="22">
        <v>138000</v>
      </c>
      <c r="AC123" s="22">
        <v>13800</v>
      </c>
      <c r="AD123" s="9"/>
      <c r="AE123" s="9" t="str">
        <f t="shared" si="5"/>
        <v/>
      </c>
      <c r="AF123" s="23"/>
      <c r="AG123" s="23"/>
      <c r="AH123" s="23"/>
      <c r="AI123" s="23"/>
      <c r="AJ123" s="23"/>
      <c r="AK123" s="23"/>
      <c r="AL123" s="9"/>
      <c r="AM123" s="9" t="str">
        <f t="shared" si="6"/>
        <v/>
      </c>
      <c r="AN123" s="23"/>
      <c r="AO123" s="23"/>
      <c r="AP123" s="23"/>
      <c r="AQ123" s="23"/>
      <c r="AR123" s="23"/>
      <c r="AS123" s="23"/>
      <c r="AT123" s="9"/>
      <c r="AU123" s="9" t="str">
        <f t="shared" si="7"/>
        <v/>
      </c>
      <c r="AV123" s="23"/>
      <c r="AW123" s="23"/>
      <c r="AX123" s="23"/>
      <c r="AY123" s="23"/>
      <c r="AZ123" s="23"/>
      <c r="BA123" s="23"/>
      <c r="BB123" s="9"/>
    </row>
    <row r="124" spans="1:54" ht="67.5" x14ac:dyDescent="0.3">
      <c r="A124" s="8" t="s">
        <v>65</v>
      </c>
      <c r="B124" s="9" t="s">
        <v>66</v>
      </c>
      <c r="C124" s="22" t="s">
        <v>1618</v>
      </c>
      <c r="D124" s="9">
        <v>20260715</v>
      </c>
      <c r="E124" s="22">
        <v>230000</v>
      </c>
      <c r="F124" s="22">
        <v>23000</v>
      </c>
      <c r="G124" s="9">
        <v>253000</v>
      </c>
      <c r="H124" s="22" t="s">
        <v>180</v>
      </c>
      <c r="I124" s="8"/>
      <c r="J124" s="22" t="s">
        <v>1091</v>
      </c>
      <c r="K124" s="22" t="s">
        <v>1092</v>
      </c>
      <c r="L124" s="22" t="s">
        <v>1093</v>
      </c>
      <c r="M124" s="22" t="s">
        <v>273</v>
      </c>
      <c r="N124" s="22" t="s">
        <v>1094</v>
      </c>
      <c r="O124" s="22" t="s">
        <v>291</v>
      </c>
      <c r="P124" s="22" t="s">
        <v>1095</v>
      </c>
      <c r="Q124" s="22" t="s">
        <v>322</v>
      </c>
      <c r="R124" s="22" t="s">
        <v>292</v>
      </c>
      <c r="S124" s="9"/>
      <c r="T124" s="9"/>
      <c r="U124" s="9"/>
      <c r="V124" s="9"/>
      <c r="W124" s="9" t="str">
        <f t="shared" si="4"/>
        <v>20260715</v>
      </c>
      <c r="X124" s="22" t="s">
        <v>1667</v>
      </c>
      <c r="Y124" s="23"/>
      <c r="Z124" s="22">
        <v>1</v>
      </c>
      <c r="AA124" s="22">
        <v>230000</v>
      </c>
      <c r="AB124" s="22">
        <v>230000</v>
      </c>
      <c r="AC124" s="22">
        <v>23000</v>
      </c>
      <c r="AD124" s="9"/>
      <c r="AE124" s="9" t="str">
        <f t="shared" si="5"/>
        <v/>
      </c>
      <c r="AF124" s="23"/>
      <c r="AG124" s="23"/>
      <c r="AH124" s="23"/>
      <c r="AI124" s="23"/>
      <c r="AJ124" s="23"/>
      <c r="AK124" s="23"/>
      <c r="AL124" s="9"/>
      <c r="AM124" s="9" t="str">
        <f t="shared" si="6"/>
        <v/>
      </c>
      <c r="AN124" s="23"/>
      <c r="AO124" s="23"/>
      <c r="AP124" s="23"/>
      <c r="AQ124" s="23"/>
      <c r="AR124" s="23"/>
      <c r="AS124" s="23"/>
      <c r="AT124" s="9"/>
      <c r="AU124" s="9" t="str">
        <f t="shared" si="7"/>
        <v/>
      </c>
      <c r="AV124" s="23"/>
      <c r="AW124" s="23"/>
      <c r="AX124" s="23"/>
      <c r="AY124" s="23"/>
      <c r="AZ124" s="23"/>
      <c r="BA124" s="23"/>
      <c r="BB124" s="9"/>
    </row>
    <row r="125" spans="1:54" ht="54" x14ac:dyDescent="0.3">
      <c r="A125" s="8" t="s">
        <v>65</v>
      </c>
      <c r="B125" s="9" t="s">
        <v>66</v>
      </c>
      <c r="C125" s="22" t="s">
        <v>1618</v>
      </c>
      <c r="D125" s="9">
        <v>20260715</v>
      </c>
      <c r="E125" s="22">
        <v>300000</v>
      </c>
      <c r="F125" s="22">
        <v>30000</v>
      </c>
      <c r="G125" s="9">
        <v>330000</v>
      </c>
      <c r="H125" s="22" t="s">
        <v>181</v>
      </c>
      <c r="I125" s="8"/>
      <c r="J125" s="22" t="s">
        <v>1096</v>
      </c>
      <c r="K125" s="22" t="s">
        <v>1097</v>
      </c>
      <c r="L125" s="22" t="s">
        <v>1098</v>
      </c>
      <c r="M125" s="22" t="s">
        <v>1099</v>
      </c>
      <c r="N125" s="22" t="s">
        <v>1100</v>
      </c>
      <c r="O125" s="22" t="s">
        <v>1101</v>
      </c>
      <c r="P125" s="22" t="s">
        <v>948</v>
      </c>
      <c r="Q125" s="22" t="s">
        <v>1102</v>
      </c>
      <c r="R125" s="22" t="s">
        <v>1103</v>
      </c>
      <c r="S125" s="9"/>
      <c r="T125" s="9"/>
      <c r="U125" s="9"/>
      <c r="V125" s="9"/>
      <c r="W125" s="9" t="str">
        <f t="shared" si="4"/>
        <v>20260715</v>
      </c>
      <c r="X125" s="22" t="s">
        <v>1633</v>
      </c>
      <c r="Y125" s="23"/>
      <c r="Z125" s="22">
        <v>1</v>
      </c>
      <c r="AA125" s="22">
        <v>300000</v>
      </c>
      <c r="AB125" s="22">
        <v>300000</v>
      </c>
      <c r="AC125" s="22">
        <v>30000</v>
      </c>
      <c r="AD125" s="9"/>
      <c r="AE125" s="9" t="str">
        <f t="shared" si="5"/>
        <v/>
      </c>
      <c r="AF125" s="23"/>
      <c r="AG125" s="23"/>
      <c r="AH125" s="23"/>
      <c r="AI125" s="23"/>
      <c r="AJ125" s="23"/>
      <c r="AK125" s="23"/>
      <c r="AL125" s="9"/>
      <c r="AM125" s="9" t="str">
        <f t="shared" si="6"/>
        <v/>
      </c>
      <c r="AN125" s="23"/>
      <c r="AO125" s="23"/>
      <c r="AP125" s="23"/>
      <c r="AQ125" s="23"/>
      <c r="AR125" s="23"/>
      <c r="AS125" s="23"/>
      <c r="AT125" s="9"/>
      <c r="AU125" s="9" t="str">
        <f t="shared" si="7"/>
        <v/>
      </c>
      <c r="AV125" s="23"/>
      <c r="AW125" s="23"/>
      <c r="AX125" s="23"/>
      <c r="AY125" s="23"/>
      <c r="AZ125" s="23"/>
      <c r="BA125" s="23"/>
      <c r="BB125" s="9"/>
    </row>
    <row r="126" spans="1:54" ht="67.5" x14ac:dyDescent="0.3">
      <c r="A126" s="8" t="s">
        <v>65</v>
      </c>
      <c r="B126" s="9" t="s">
        <v>66</v>
      </c>
      <c r="C126" s="22" t="s">
        <v>1618</v>
      </c>
      <c r="D126" s="9">
        <v>20260715</v>
      </c>
      <c r="E126" s="22">
        <v>130000</v>
      </c>
      <c r="F126" s="22">
        <v>13000</v>
      </c>
      <c r="G126" s="9">
        <v>143000</v>
      </c>
      <c r="H126" s="22" t="s">
        <v>182</v>
      </c>
      <c r="I126" s="8"/>
      <c r="J126" s="22" t="s">
        <v>1104</v>
      </c>
      <c r="K126" s="22" t="s">
        <v>1105</v>
      </c>
      <c r="L126" s="22" t="s">
        <v>1106</v>
      </c>
      <c r="M126" s="22" t="s">
        <v>312</v>
      </c>
      <c r="N126" s="22" t="s">
        <v>1107</v>
      </c>
      <c r="O126" s="22" t="s">
        <v>1108</v>
      </c>
      <c r="P126" s="22" t="s">
        <v>1110</v>
      </c>
      <c r="Q126" s="22" t="s">
        <v>1109</v>
      </c>
      <c r="R126" s="22" t="s">
        <v>292</v>
      </c>
      <c r="S126" s="9"/>
      <c r="T126" s="9"/>
      <c r="U126" s="9"/>
      <c r="V126" s="9"/>
      <c r="W126" s="9" t="str">
        <f t="shared" si="4"/>
        <v>20260715</v>
      </c>
      <c r="X126" s="22" t="s">
        <v>1668</v>
      </c>
      <c r="Y126" s="23"/>
      <c r="Z126" s="22">
        <v>1</v>
      </c>
      <c r="AA126" s="22">
        <v>130000</v>
      </c>
      <c r="AB126" s="22">
        <v>130000</v>
      </c>
      <c r="AC126" s="22">
        <v>13000</v>
      </c>
      <c r="AD126" s="9"/>
      <c r="AE126" s="9" t="str">
        <f t="shared" si="5"/>
        <v/>
      </c>
      <c r="AF126" s="23"/>
      <c r="AG126" s="23"/>
      <c r="AH126" s="23"/>
      <c r="AI126" s="23"/>
      <c r="AJ126" s="23"/>
      <c r="AK126" s="23"/>
      <c r="AL126" s="9"/>
      <c r="AM126" s="9" t="str">
        <f t="shared" si="6"/>
        <v/>
      </c>
      <c r="AN126" s="23"/>
      <c r="AO126" s="23"/>
      <c r="AP126" s="23"/>
      <c r="AQ126" s="23"/>
      <c r="AR126" s="23"/>
      <c r="AS126" s="23"/>
      <c r="AT126" s="9"/>
      <c r="AU126" s="9" t="str">
        <f t="shared" si="7"/>
        <v/>
      </c>
      <c r="AV126" s="23"/>
      <c r="AW126" s="23"/>
      <c r="AX126" s="23"/>
      <c r="AY126" s="23"/>
      <c r="AZ126" s="23"/>
      <c r="BA126" s="23"/>
      <c r="BB126" s="9"/>
    </row>
    <row r="127" spans="1:54" ht="67.5" x14ac:dyDescent="0.3">
      <c r="A127" s="8" t="s">
        <v>65</v>
      </c>
      <c r="B127" s="9" t="s">
        <v>66</v>
      </c>
      <c r="C127" s="22" t="s">
        <v>1618</v>
      </c>
      <c r="D127" s="9">
        <v>20260715</v>
      </c>
      <c r="E127" s="22">
        <v>300000</v>
      </c>
      <c r="F127" s="22">
        <v>30000</v>
      </c>
      <c r="G127" s="9">
        <v>330000</v>
      </c>
      <c r="H127" s="22" t="s">
        <v>183</v>
      </c>
      <c r="I127" s="8"/>
      <c r="J127" s="22" t="s">
        <v>1111</v>
      </c>
      <c r="K127" s="22" t="s">
        <v>1112</v>
      </c>
      <c r="L127" s="22" t="s">
        <v>1113</v>
      </c>
      <c r="M127" s="22" t="s">
        <v>1114</v>
      </c>
      <c r="N127" s="22" t="s">
        <v>1115</v>
      </c>
      <c r="O127" s="22" t="s">
        <v>291</v>
      </c>
      <c r="P127" s="22" t="s">
        <v>1116</v>
      </c>
      <c r="Q127" s="22" t="s">
        <v>292</v>
      </c>
      <c r="R127" s="22" t="s">
        <v>292</v>
      </c>
      <c r="S127" s="9"/>
      <c r="T127" s="9"/>
      <c r="U127" s="9"/>
      <c r="V127" s="9"/>
      <c r="W127" s="9" t="str">
        <f t="shared" si="4"/>
        <v>20260715</v>
      </c>
      <c r="X127" s="22" t="s">
        <v>1624</v>
      </c>
      <c r="Y127" s="23"/>
      <c r="Z127" s="22">
        <v>1</v>
      </c>
      <c r="AA127" s="22">
        <v>300000</v>
      </c>
      <c r="AB127" s="22">
        <v>300000</v>
      </c>
      <c r="AC127" s="22">
        <v>30000</v>
      </c>
      <c r="AD127" s="9"/>
      <c r="AE127" s="9" t="str">
        <f t="shared" si="5"/>
        <v/>
      </c>
      <c r="AF127" s="23"/>
      <c r="AG127" s="23"/>
      <c r="AH127" s="23"/>
      <c r="AI127" s="23"/>
      <c r="AJ127" s="23"/>
      <c r="AK127" s="23"/>
      <c r="AL127" s="9"/>
      <c r="AM127" s="9" t="str">
        <f t="shared" si="6"/>
        <v/>
      </c>
      <c r="AN127" s="23"/>
      <c r="AO127" s="23"/>
      <c r="AP127" s="23"/>
      <c r="AQ127" s="23"/>
      <c r="AR127" s="23"/>
      <c r="AS127" s="23"/>
      <c r="AT127" s="9"/>
      <c r="AU127" s="9" t="str">
        <f t="shared" si="7"/>
        <v/>
      </c>
      <c r="AV127" s="23"/>
      <c r="AW127" s="23"/>
      <c r="AX127" s="23"/>
      <c r="AY127" s="23"/>
      <c r="AZ127" s="23"/>
      <c r="BA127" s="23"/>
      <c r="BB127" s="9"/>
    </row>
    <row r="128" spans="1:54" ht="81" x14ac:dyDescent="0.3">
      <c r="A128" s="8" t="s">
        <v>65</v>
      </c>
      <c r="B128" s="9" t="s">
        <v>66</v>
      </c>
      <c r="C128" s="22" t="s">
        <v>1618</v>
      </c>
      <c r="D128" s="9">
        <v>20260715</v>
      </c>
      <c r="E128" s="22">
        <v>80000</v>
      </c>
      <c r="F128" s="22">
        <v>8000</v>
      </c>
      <c r="G128" s="9">
        <v>88000</v>
      </c>
      <c r="H128" s="22" t="s">
        <v>184</v>
      </c>
      <c r="I128" s="8"/>
      <c r="J128" s="22" t="s">
        <v>1117</v>
      </c>
      <c r="K128" s="22" t="s">
        <v>1118</v>
      </c>
      <c r="L128" s="22" t="s">
        <v>1119</v>
      </c>
      <c r="M128" s="22" t="s">
        <v>273</v>
      </c>
      <c r="N128" s="22" t="s">
        <v>1120</v>
      </c>
      <c r="O128" s="22" t="s">
        <v>1118</v>
      </c>
      <c r="P128" s="22" t="s">
        <v>1123</v>
      </c>
      <c r="Q128" s="22" t="s">
        <v>1121</v>
      </c>
      <c r="R128" s="22" t="s">
        <v>1122</v>
      </c>
      <c r="S128" s="9"/>
      <c r="T128" s="9"/>
      <c r="U128" s="9"/>
      <c r="V128" s="9"/>
      <c r="W128" s="9" t="str">
        <f t="shared" si="4"/>
        <v>20260715</v>
      </c>
      <c r="X128" s="22" t="s">
        <v>1624</v>
      </c>
      <c r="Y128" s="23"/>
      <c r="Z128" s="22">
        <v>1</v>
      </c>
      <c r="AA128" s="22">
        <v>80000</v>
      </c>
      <c r="AB128" s="22">
        <v>80000</v>
      </c>
      <c r="AC128" s="22">
        <v>8000</v>
      </c>
      <c r="AD128" s="9"/>
      <c r="AE128" s="9" t="str">
        <f t="shared" si="5"/>
        <v/>
      </c>
      <c r="AF128" s="23"/>
      <c r="AG128" s="23"/>
      <c r="AH128" s="23"/>
      <c r="AI128" s="23"/>
      <c r="AJ128" s="23"/>
      <c r="AK128" s="23"/>
      <c r="AL128" s="9"/>
      <c r="AM128" s="9" t="str">
        <f t="shared" si="6"/>
        <v/>
      </c>
      <c r="AN128" s="23"/>
      <c r="AO128" s="23"/>
      <c r="AP128" s="23"/>
      <c r="AQ128" s="23"/>
      <c r="AR128" s="23"/>
      <c r="AS128" s="23"/>
      <c r="AT128" s="9"/>
      <c r="AU128" s="9" t="str">
        <f t="shared" si="7"/>
        <v/>
      </c>
      <c r="AV128" s="23"/>
      <c r="AW128" s="23"/>
      <c r="AX128" s="23"/>
      <c r="AY128" s="23"/>
      <c r="AZ128" s="23"/>
      <c r="BA128" s="23"/>
      <c r="BB128" s="9"/>
    </row>
    <row r="129" spans="1:54" ht="54" x14ac:dyDescent="0.3">
      <c r="A129" s="8" t="s">
        <v>65</v>
      </c>
      <c r="B129" s="9" t="s">
        <v>66</v>
      </c>
      <c r="C129" s="22" t="s">
        <v>1618</v>
      </c>
      <c r="D129" s="9">
        <v>20260715</v>
      </c>
      <c r="E129" s="22">
        <v>80000</v>
      </c>
      <c r="F129" s="22">
        <v>8000</v>
      </c>
      <c r="G129" s="9">
        <v>88000</v>
      </c>
      <c r="H129" s="22" t="s">
        <v>185</v>
      </c>
      <c r="I129" s="8"/>
      <c r="J129" s="22" t="s">
        <v>1124</v>
      </c>
      <c r="K129" s="22" t="s">
        <v>1125</v>
      </c>
      <c r="L129" s="22" t="s">
        <v>1126</v>
      </c>
      <c r="M129" s="22" t="s">
        <v>265</v>
      </c>
      <c r="N129" s="22" t="s">
        <v>1127</v>
      </c>
      <c r="O129" s="22" t="s">
        <v>1128</v>
      </c>
      <c r="P129" s="22" t="s">
        <v>1131</v>
      </c>
      <c r="Q129" s="22" t="s">
        <v>1129</v>
      </c>
      <c r="R129" s="22" t="s">
        <v>1130</v>
      </c>
      <c r="S129" s="9"/>
      <c r="T129" s="9"/>
      <c r="U129" s="9"/>
      <c r="V129" s="9"/>
      <c r="W129" s="9" t="str">
        <f t="shared" si="4"/>
        <v>20260715</v>
      </c>
      <c r="X129" s="22" t="s">
        <v>1640</v>
      </c>
      <c r="Y129" s="23"/>
      <c r="Z129" s="22">
        <v>1</v>
      </c>
      <c r="AA129" s="22">
        <v>80000</v>
      </c>
      <c r="AB129" s="22">
        <v>80000</v>
      </c>
      <c r="AC129" s="22">
        <v>8000</v>
      </c>
      <c r="AD129" s="9"/>
      <c r="AE129" s="9" t="str">
        <f t="shared" si="5"/>
        <v/>
      </c>
      <c r="AF129" s="23"/>
      <c r="AG129" s="23"/>
      <c r="AH129" s="23"/>
      <c r="AI129" s="23"/>
      <c r="AJ129" s="23"/>
      <c r="AK129" s="23"/>
      <c r="AL129" s="9"/>
      <c r="AM129" s="9" t="str">
        <f t="shared" si="6"/>
        <v/>
      </c>
      <c r="AN129" s="23"/>
      <c r="AO129" s="23"/>
      <c r="AP129" s="23"/>
      <c r="AQ129" s="23"/>
      <c r="AR129" s="23"/>
      <c r="AS129" s="23"/>
      <c r="AT129" s="9"/>
      <c r="AU129" s="9" t="str">
        <f t="shared" si="7"/>
        <v/>
      </c>
      <c r="AV129" s="23"/>
      <c r="AW129" s="23"/>
      <c r="AX129" s="23"/>
      <c r="AY129" s="23"/>
      <c r="AZ129" s="23"/>
      <c r="BA129" s="23"/>
      <c r="BB129" s="9"/>
    </row>
    <row r="130" spans="1:54" ht="67.5" x14ac:dyDescent="0.3">
      <c r="A130" s="8" t="s">
        <v>65</v>
      </c>
      <c r="B130" s="9" t="s">
        <v>66</v>
      </c>
      <c r="C130" s="22" t="s">
        <v>1618</v>
      </c>
      <c r="D130" s="9">
        <v>20260715</v>
      </c>
      <c r="E130" s="22">
        <v>70000</v>
      </c>
      <c r="F130" s="22">
        <v>7000</v>
      </c>
      <c r="G130" s="9">
        <v>77000</v>
      </c>
      <c r="H130" s="22" t="s">
        <v>186</v>
      </c>
      <c r="I130" s="8"/>
      <c r="J130" s="22" t="s">
        <v>1132</v>
      </c>
      <c r="K130" s="22" t="s">
        <v>1133</v>
      </c>
      <c r="L130" s="22" t="s">
        <v>1134</v>
      </c>
      <c r="M130" s="22" t="s">
        <v>1135</v>
      </c>
      <c r="N130" s="22" t="s">
        <v>1136</v>
      </c>
      <c r="O130" s="22" t="s">
        <v>1133</v>
      </c>
      <c r="P130" s="22" t="s">
        <v>1138</v>
      </c>
      <c r="Q130" s="22" t="s">
        <v>259</v>
      </c>
      <c r="R130" s="22" t="s">
        <v>1137</v>
      </c>
      <c r="S130" s="9"/>
      <c r="T130" s="9"/>
      <c r="U130" s="9"/>
      <c r="V130" s="9"/>
      <c r="W130" s="9" t="str">
        <f t="shared" si="4"/>
        <v>20260715</v>
      </c>
      <c r="X130" s="22" t="s">
        <v>1669</v>
      </c>
      <c r="Y130" s="23"/>
      <c r="Z130" s="22">
        <v>1</v>
      </c>
      <c r="AA130" s="22">
        <v>70000</v>
      </c>
      <c r="AB130" s="22">
        <v>70000</v>
      </c>
      <c r="AC130" s="22">
        <v>7000</v>
      </c>
      <c r="AD130" s="9"/>
      <c r="AE130" s="9" t="str">
        <f t="shared" si="5"/>
        <v/>
      </c>
      <c r="AF130" s="23"/>
      <c r="AG130" s="23"/>
      <c r="AH130" s="23"/>
      <c r="AI130" s="23"/>
      <c r="AJ130" s="23"/>
      <c r="AK130" s="23"/>
      <c r="AL130" s="9"/>
      <c r="AM130" s="9" t="str">
        <f t="shared" si="6"/>
        <v/>
      </c>
      <c r="AN130" s="23"/>
      <c r="AO130" s="23"/>
      <c r="AP130" s="23"/>
      <c r="AQ130" s="23"/>
      <c r="AR130" s="23"/>
      <c r="AS130" s="23"/>
      <c r="AT130" s="9"/>
      <c r="AU130" s="9" t="str">
        <f t="shared" si="7"/>
        <v/>
      </c>
      <c r="AV130" s="23"/>
      <c r="AW130" s="23"/>
      <c r="AX130" s="23"/>
      <c r="AY130" s="23"/>
      <c r="AZ130" s="23"/>
      <c r="BA130" s="23"/>
      <c r="BB130" s="9"/>
    </row>
    <row r="131" spans="1:54" ht="54" x14ac:dyDescent="0.3">
      <c r="A131" s="8" t="s">
        <v>65</v>
      </c>
      <c r="B131" s="9" t="s">
        <v>66</v>
      </c>
      <c r="C131" s="22" t="s">
        <v>1618</v>
      </c>
      <c r="D131" s="9">
        <v>20260715</v>
      </c>
      <c r="E131" s="22">
        <v>70000</v>
      </c>
      <c r="F131" s="22">
        <v>7000</v>
      </c>
      <c r="G131" s="9">
        <v>77000</v>
      </c>
      <c r="H131" s="22" t="s">
        <v>187</v>
      </c>
      <c r="I131" s="8"/>
      <c r="J131" s="22" t="s">
        <v>1139</v>
      </c>
      <c r="K131" s="22" t="s">
        <v>1140</v>
      </c>
      <c r="L131" s="22" t="s">
        <v>1141</v>
      </c>
      <c r="M131" s="22" t="s">
        <v>612</v>
      </c>
      <c r="N131" s="22" t="s">
        <v>613</v>
      </c>
      <c r="O131" s="22" t="s">
        <v>1140</v>
      </c>
      <c r="P131" s="22" t="s">
        <v>1143</v>
      </c>
      <c r="Q131" s="22" t="s">
        <v>614</v>
      </c>
      <c r="R131" s="22" t="s">
        <v>1142</v>
      </c>
      <c r="S131" s="9"/>
      <c r="T131" s="9"/>
      <c r="U131" s="9"/>
      <c r="V131" s="9"/>
      <c r="W131" s="9" t="str">
        <f t="shared" si="4"/>
        <v>20260715</v>
      </c>
      <c r="X131" s="22" t="s">
        <v>1626</v>
      </c>
      <c r="Y131" s="23"/>
      <c r="Z131" s="22">
        <v>1</v>
      </c>
      <c r="AA131" s="22">
        <v>70000</v>
      </c>
      <c r="AB131" s="22">
        <v>70000</v>
      </c>
      <c r="AC131" s="22">
        <v>7000</v>
      </c>
      <c r="AD131" s="9"/>
      <c r="AE131" s="9" t="str">
        <f t="shared" si="5"/>
        <v/>
      </c>
      <c r="AF131" s="23"/>
      <c r="AG131" s="23"/>
      <c r="AH131" s="23"/>
      <c r="AI131" s="23"/>
      <c r="AJ131" s="23"/>
      <c r="AK131" s="23"/>
      <c r="AL131" s="9"/>
      <c r="AM131" s="9" t="str">
        <f t="shared" si="6"/>
        <v/>
      </c>
      <c r="AN131" s="23"/>
      <c r="AO131" s="23"/>
      <c r="AP131" s="23"/>
      <c r="AQ131" s="23"/>
      <c r="AR131" s="23"/>
      <c r="AS131" s="23"/>
      <c r="AT131" s="9"/>
      <c r="AU131" s="9" t="str">
        <f t="shared" si="7"/>
        <v/>
      </c>
      <c r="AV131" s="23"/>
      <c r="AW131" s="23"/>
      <c r="AX131" s="23"/>
      <c r="AY131" s="23"/>
      <c r="AZ131" s="23"/>
      <c r="BA131" s="23"/>
      <c r="BB131" s="9"/>
    </row>
    <row r="132" spans="1:54" ht="67.5" x14ac:dyDescent="0.3">
      <c r="A132" s="8" t="s">
        <v>65</v>
      </c>
      <c r="B132" s="9" t="s">
        <v>66</v>
      </c>
      <c r="C132" s="22" t="s">
        <v>1618</v>
      </c>
      <c r="D132" s="9">
        <v>20260715</v>
      </c>
      <c r="E132" s="22">
        <v>900000</v>
      </c>
      <c r="F132" s="22">
        <v>90000</v>
      </c>
      <c r="G132" s="9">
        <v>990000</v>
      </c>
      <c r="H132" s="22" t="s">
        <v>138</v>
      </c>
      <c r="I132" s="8"/>
      <c r="J132" s="22" t="s">
        <v>785</v>
      </c>
      <c r="K132" s="22" t="s">
        <v>786</v>
      </c>
      <c r="L132" s="22" t="s">
        <v>787</v>
      </c>
      <c r="M132" s="22" t="s">
        <v>452</v>
      </c>
      <c r="N132" s="22" t="s">
        <v>788</v>
      </c>
      <c r="O132" s="22" t="s">
        <v>789</v>
      </c>
      <c r="P132" s="22" t="s">
        <v>792</v>
      </c>
      <c r="Q132" s="22" t="s">
        <v>790</v>
      </c>
      <c r="R132" s="22" t="s">
        <v>791</v>
      </c>
      <c r="S132" s="9"/>
      <c r="T132" s="9"/>
      <c r="U132" s="9"/>
      <c r="V132" s="9"/>
      <c r="W132" s="9" t="str">
        <f t="shared" si="4"/>
        <v>20260715</v>
      </c>
      <c r="X132" s="22" t="s">
        <v>1651</v>
      </c>
      <c r="Y132" s="23"/>
      <c r="Z132" s="22">
        <v>1</v>
      </c>
      <c r="AA132" s="22">
        <v>900000</v>
      </c>
      <c r="AB132" s="22">
        <v>900000</v>
      </c>
      <c r="AC132" s="22">
        <v>90000</v>
      </c>
      <c r="AD132" s="9"/>
      <c r="AE132" s="9" t="str">
        <f t="shared" si="5"/>
        <v/>
      </c>
      <c r="AF132" s="23"/>
      <c r="AG132" s="23"/>
      <c r="AH132" s="23"/>
      <c r="AI132" s="23"/>
      <c r="AJ132" s="23"/>
      <c r="AK132" s="23"/>
      <c r="AL132" s="9"/>
      <c r="AM132" s="9" t="str">
        <f t="shared" si="6"/>
        <v/>
      </c>
      <c r="AN132" s="23"/>
      <c r="AO132" s="23"/>
      <c r="AP132" s="23"/>
      <c r="AQ132" s="23"/>
      <c r="AR132" s="23"/>
      <c r="AS132" s="23"/>
      <c r="AT132" s="9"/>
      <c r="AU132" s="9" t="str">
        <f t="shared" si="7"/>
        <v/>
      </c>
      <c r="AV132" s="23"/>
      <c r="AW132" s="23"/>
      <c r="AX132" s="23"/>
      <c r="AY132" s="23"/>
      <c r="AZ132" s="23"/>
      <c r="BA132" s="23"/>
      <c r="BB132" s="9"/>
    </row>
    <row r="133" spans="1:54" ht="81" x14ac:dyDescent="0.3">
      <c r="A133" s="8" t="s">
        <v>65</v>
      </c>
      <c r="B133" s="9" t="s">
        <v>66</v>
      </c>
      <c r="C133" s="22" t="s">
        <v>1618</v>
      </c>
      <c r="D133" s="9">
        <v>20260715</v>
      </c>
      <c r="E133" s="22">
        <v>570000</v>
      </c>
      <c r="F133" s="22">
        <v>57000</v>
      </c>
      <c r="G133" s="9">
        <v>627000</v>
      </c>
      <c r="H133" s="22" t="s">
        <v>118</v>
      </c>
      <c r="I133" s="8"/>
      <c r="J133" s="22" t="s">
        <v>634</v>
      </c>
      <c r="K133" s="22" t="s">
        <v>635</v>
      </c>
      <c r="L133" s="22" t="s">
        <v>636</v>
      </c>
      <c r="M133" s="22" t="s">
        <v>297</v>
      </c>
      <c r="N133" s="22" t="s">
        <v>637</v>
      </c>
      <c r="O133" s="22" t="s">
        <v>841</v>
      </c>
      <c r="P133" s="22" t="s">
        <v>640</v>
      </c>
      <c r="Q133" s="22" t="s">
        <v>842</v>
      </c>
      <c r="R133" s="22" t="s">
        <v>639</v>
      </c>
      <c r="S133" s="9"/>
      <c r="T133" s="9"/>
      <c r="U133" s="9"/>
      <c r="V133" s="9"/>
      <c r="W133" s="9" t="str">
        <f t="shared" ref="W133:W196" si="8">IF(X133&lt;&gt;"","20260715","")</f>
        <v>20260715</v>
      </c>
      <c r="X133" s="22" t="s">
        <v>1670</v>
      </c>
      <c r="Y133" s="23"/>
      <c r="Z133" s="22">
        <v>1</v>
      </c>
      <c r="AA133" s="22">
        <v>570000</v>
      </c>
      <c r="AB133" s="22">
        <v>570000</v>
      </c>
      <c r="AC133" s="22">
        <v>57000</v>
      </c>
      <c r="AD133" s="9"/>
      <c r="AE133" s="9" t="str">
        <f t="shared" ref="AE133:AE196" si="9">IF(AF133&lt;&gt;"","20260715","")</f>
        <v/>
      </c>
      <c r="AF133" s="23"/>
      <c r="AG133" s="23"/>
      <c r="AH133" s="23"/>
      <c r="AI133" s="23"/>
      <c r="AJ133" s="23"/>
      <c r="AK133" s="23"/>
      <c r="AL133" s="9"/>
      <c r="AM133" s="9" t="str">
        <f t="shared" ref="AM133:AM196" si="10">IF(AN133&lt;&gt;"","20260715","")</f>
        <v/>
      </c>
      <c r="AN133" s="23"/>
      <c r="AO133" s="23"/>
      <c r="AP133" s="23"/>
      <c r="AQ133" s="23"/>
      <c r="AR133" s="23"/>
      <c r="AS133" s="23"/>
      <c r="AT133" s="9"/>
      <c r="AU133" s="9" t="str">
        <f t="shared" ref="AU133:AU196" si="11">IF(AV133&lt;&gt;"","20260715","")</f>
        <v/>
      </c>
      <c r="AV133" s="23"/>
      <c r="AW133" s="23"/>
      <c r="AX133" s="23"/>
      <c r="AY133" s="23"/>
      <c r="AZ133" s="23"/>
      <c r="BA133" s="23"/>
      <c r="BB133" s="9"/>
    </row>
    <row r="134" spans="1:54" ht="81" x14ac:dyDescent="0.3">
      <c r="A134" s="8" t="s">
        <v>65</v>
      </c>
      <c r="B134" s="9" t="s">
        <v>66</v>
      </c>
      <c r="C134" s="22" t="s">
        <v>1618</v>
      </c>
      <c r="D134" s="9">
        <v>20260715</v>
      </c>
      <c r="E134" s="22">
        <v>50000</v>
      </c>
      <c r="F134" s="22">
        <v>5000</v>
      </c>
      <c r="G134" s="9">
        <v>55000</v>
      </c>
      <c r="H134" s="22" t="s">
        <v>94</v>
      </c>
      <c r="I134" s="8"/>
      <c r="J134" s="22" t="s">
        <v>457</v>
      </c>
      <c r="K134" s="22" t="s">
        <v>458</v>
      </c>
      <c r="L134" s="22" t="s">
        <v>459</v>
      </c>
      <c r="M134" s="22" t="s">
        <v>273</v>
      </c>
      <c r="N134" s="22" t="s">
        <v>460</v>
      </c>
      <c r="O134" s="22" t="s">
        <v>458</v>
      </c>
      <c r="P134" s="22" t="s">
        <v>463</v>
      </c>
      <c r="Q134" s="22" t="s">
        <v>461</v>
      </c>
      <c r="R134" s="22" t="s">
        <v>462</v>
      </c>
      <c r="S134" s="9"/>
      <c r="T134" s="9"/>
      <c r="U134" s="9"/>
      <c r="V134" s="9"/>
      <c r="W134" s="9" t="str">
        <f t="shared" si="8"/>
        <v>20260715</v>
      </c>
      <c r="X134" s="22" t="s">
        <v>1627</v>
      </c>
      <c r="Y134" s="23"/>
      <c r="Z134" s="22">
        <v>1</v>
      </c>
      <c r="AA134" s="22">
        <v>30000</v>
      </c>
      <c r="AB134" s="22">
        <v>30000</v>
      </c>
      <c r="AC134" s="22">
        <v>3000</v>
      </c>
      <c r="AD134" s="9"/>
      <c r="AE134" s="9" t="str">
        <f t="shared" si="9"/>
        <v>20260715</v>
      </c>
      <c r="AF134" s="22" t="s">
        <v>1673</v>
      </c>
      <c r="AG134" s="23"/>
      <c r="AH134" s="22">
        <v>1</v>
      </c>
      <c r="AI134" s="22">
        <v>20000</v>
      </c>
      <c r="AJ134" s="22">
        <v>20000</v>
      </c>
      <c r="AK134" s="22">
        <v>2000</v>
      </c>
      <c r="AL134" s="9"/>
      <c r="AM134" s="9" t="str">
        <f t="shared" si="10"/>
        <v/>
      </c>
      <c r="AN134" s="23"/>
      <c r="AO134" s="23"/>
      <c r="AP134" s="23"/>
      <c r="AQ134" s="23"/>
      <c r="AR134" s="23"/>
      <c r="AS134" s="23"/>
      <c r="AT134" s="9"/>
      <c r="AU134" s="9" t="str">
        <f t="shared" si="11"/>
        <v/>
      </c>
      <c r="AV134" s="23"/>
      <c r="AW134" s="23"/>
      <c r="AX134" s="23"/>
      <c r="AY134" s="23"/>
      <c r="AZ134" s="23"/>
      <c r="BA134" s="23"/>
      <c r="BB134" s="9"/>
    </row>
    <row r="135" spans="1:54" ht="54" x14ac:dyDescent="0.3">
      <c r="A135" s="8" t="s">
        <v>65</v>
      </c>
      <c r="B135" s="9" t="s">
        <v>66</v>
      </c>
      <c r="C135" s="22" t="s">
        <v>1618</v>
      </c>
      <c r="D135" s="9">
        <v>20260715</v>
      </c>
      <c r="E135" s="22">
        <v>630000</v>
      </c>
      <c r="F135" s="22">
        <v>63000</v>
      </c>
      <c r="G135" s="9">
        <v>693000</v>
      </c>
      <c r="H135" s="22" t="s">
        <v>188</v>
      </c>
      <c r="I135" s="8"/>
      <c r="J135" s="22" t="s">
        <v>1144</v>
      </c>
      <c r="K135" s="22" t="s">
        <v>1145</v>
      </c>
      <c r="L135" s="22" t="s">
        <v>1146</v>
      </c>
      <c r="M135" s="22" t="s">
        <v>1147</v>
      </c>
      <c r="N135" s="22" t="s">
        <v>1148</v>
      </c>
      <c r="O135" s="22" t="s">
        <v>291</v>
      </c>
      <c r="P135" s="22" t="s">
        <v>1149</v>
      </c>
      <c r="Q135" s="22" t="s">
        <v>292</v>
      </c>
      <c r="R135" s="22" t="s">
        <v>292</v>
      </c>
      <c r="S135" s="9"/>
      <c r="T135" s="9"/>
      <c r="U135" s="9"/>
      <c r="V135" s="9"/>
      <c r="W135" s="9" t="str">
        <f t="shared" si="8"/>
        <v>20260715</v>
      </c>
      <c r="X135" s="22" t="s">
        <v>1671</v>
      </c>
      <c r="Y135" s="23"/>
      <c r="Z135" s="22">
        <v>1</v>
      </c>
      <c r="AA135" s="22">
        <v>630000</v>
      </c>
      <c r="AB135" s="22">
        <v>630000</v>
      </c>
      <c r="AC135" s="22">
        <v>63000</v>
      </c>
      <c r="AD135" s="9"/>
      <c r="AE135" s="9" t="str">
        <f t="shared" si="9"/>
        <v/>
      </c>
      <c r="AF135" s="23"/>
      <c r="AG135" s="23"/>
      <c r="AH135" s="23"/>
      <c r="AI135" s="23"/>
      <c r="AJ135" s="23"/>
      <c r="AK135" s="23"/>
      <c r="AL135" s="9"/>
      <c r="AM135" s="9" t="str">
        <f t="shared" si="10"/>
        <v/>
      </c>
      <c r="AN135" s="23"/>
      <c r="AO135" s="23"/>
      <c r="AP135" s="23"/>
      <c r="AQ135" s="23"/>
      <c r="AR135" s="23"/>
      <c r="AS135" s="23"/>
      <c r="AT135" s="9"/>
      <c r="AU135" s="9" t="str">
        <f t="shared" si="11"/>
        <v/>
      </c>
      <c r="AV135" s="23"/>
      <c r="AW135" s="23"/>
      <c r="AX135" s="23"/>
      <c r="AY135" s="23"/>
      <c r="AZ135" s="23"/>
      <c r="BA135" s="23"/>
      <c r="BB135" s="9"/>
    </row>
    <row r="136" spans="1:54" ht="67.5" x14ac:dyDescent="0.3">
      <c r="A136" s="8" t="s">
        <v>65</v>
      </c>
      <c r="B136" s="9" t="s">
        <v>66</v>
      </c>
      <c r="C136" s="22" t="s">
        <v>1618</v>
      </c>
      <c r="D136" s="9">
        <v>20260715</v>
      </c>
      <c r="E136" s="22">
        <v>1850000</v>
      </c>
      <c r="F136" s="22">
        <v>185000</v>
      </c>
      <c r="G136" s="9">
        <v>2035000</v>
      </c>
      <c r="H136" s="22" t="s">
        <v>189</v>
      </c>
      <c r="I136" s="8"/>
      <c r="J136" s="22" t="s">
        <v>1150</v>
      </c>
      <c r="K136" s="22" t="s">
        <v>1151</v>
      </c>
      <c r="L136" s="22" t="s">
        <v>1152</v>
      </c>
      <c r="M136" s="22" t="s">
        <v>1153</v>
      </c>
      <c r="N136" s="22" t="s">
        <v>1154</v>
      </c>
      <c r="O136" s="22" t="s">
        <v>1155</v>
      </c>
      <c r="P136" s="22" t="s">
        <v>1157</v>
      </c>
      <c r="Q136" s="22" t="s">
        <v>1156</v>
      </c>
      <c r="R136" s="22" t="s">
        <v>1156</v>
      </c>
      <c r="S136" s="9"/>
      <c r="T136" s="9"/>
      <c r="U136" s="9"/>
      <c r="V136" s="9"/>
      <c r="W136" s="9" t="str">
        <f t="shared" si="8"/>
        <v>20260715</v>
      </c>
      <c r="X136" s="22" t="s">
        <v>1672</v>
      </c>
      <c r="Y136" s="23"/>
      <c r="Z136" s="22">
        <v>1</v>
      </c>
      <c r="AA136" s="22">
        <v>1850000</v>
      </c>
      <c r="AB136" s="22">
        <v>1850000</v>
      </c>
      <c r="AC136" s="22">
        <v>185000</v>
      </c>
      <c r="AD136" s="9"/>
      <c r="AE136" s="9" t="str">
        <f t="shared" si="9"/>
        <v/>
      </c>
      <c r="AF136" s="23"/>
      <c r="AG136" s="23"/>
      <c r="AH136" s="23"/>
      <c r="AI136" s="23"/>
      <c r="AJ136" s="23"/>
      <c r="AK136" s="23"/>
      <c r="AL136" s="9"/>
      <c r="AM136" s="9" t="str">
        <f t="shared" si="10"/>
        <v/>
      </c>
      <c r="AN136" s="23"/>
      <c r="AO136" s="23"/>
      <c r="AP136" s="23"/>
      <c r="AQ136" s="23"/>
      <c r="AR136" s="23"/>
      <c r="AS136" s="23"/>
      <c r="AT136" s="9"/>
      <c r="AU136" s="9" t="str">
        <f t="shared" si="11"/>
        <v/>
      </c>
      <c r="AV136" s="23"/>
      <c r="AW136" s="23"/>
      <c r="AX136" s="23"/>
      <c r="AY136" s="23"/>
      <c r="AZ136" s="23"/>
      <c r="BA136" s="23"/>
      <c r="BB136" s="9"/>
    </row>
    <row r="137" spans="1:54" ht="54" x14ac:dyDescent="0.3">
      <c r="A137" s="8" t="s">
        <v>65</v>
      </c>
      <c r="B137" s="9" t="s">
        <v>66</v>
      </c>
      <c r="C137" s="22" t="s">
        <v>1618</v>
      </c>
      <c r="D137" s="9">
        <v>20260715</v>
      </c>
      <c r="E137" s="22">
        <v>100000</v>
      </c>
      <c r="F137" s="22">
        <v>10000</v>
      </c>
      <c r="G137" s="9">
        <v>110000</v>
      </c>
      <c r="H137" s="22" t="s">
        <v>190</v>
      </c>
      <c r="I137" s="8"/>
      <c r="J137" s="22" t="s">
        <v>1158</v>
      </c>
      <c r="K137" s="22" t="s">
        <v>1159</v>
      </c>
      <c r="L137" s="22" t="s">
        <v>1160</v>
      </c>
      <c r="M137" s="22" t="s">
        <v>612</v>
      </c>
      <c r="N137" s="22" t="s">
        <v>460</v>
      </c>
      <c r="O137" s="22" t="s">
        <v>1161</v>
      </c>
      <c r="P137" s="22" t="s">
        <v>1164</v>
      </c>
      <c r="Q137" s="22" t="s">
        <v>1162</v>
      </c>
      <c r="R137" s="22" t="s">
        <v>1163</v>
      </c>
      <c r="S137" s="9"/>
      <c r="T137" s="9"/>
      <c r="U137" s="9"/>
      <c r="V137" s="9"/>
      <c r="W137" s="9" t="str">
        <f t="shared" si="8"/>
        <v>20260715</v>
      </c>
      <c r="X137" s="22" t="s">
        <v>1631</v>
      </c>
      <c r="Y137" s="23"/>
      <c r="Z137" s="22">
        <v>1</v>
      </c>
      <c r="AA137" s="22">
        <v>100000</v>
      </c>
      <c r="AB137" s="22">
        <v>100000</v>
      </c>
      <c r="AC137" s="22">
        <v>10000</v>
      </c>
      <c r="AD137" s="9"/>
      <c r="AE137" s="9" t="str">
        <f t="shared" si="9"/>
        <v/>
      </c>
      <c r="AF137" s="23"/>
      <c r="AG137" s="23"/>
      <c r="AH137" s="23"/>
      <c r="AI137" s="23"/>
      <c r="AJ137" s="23"/>
      <c r="AK137" s="23"/>
      <c r="AL137" s="9"/>
      <c r="AM137" s="9" t="str">
        <f t="shared" si="10"/>
        <v/>
      </c>
      <c r="AN137" s="23"/>
      <c r="AO137" s="23"/>
      <c r="AP137" s="23"/>
      <c r="AQ137" s="23"/>
      <c r="AR137" s="23"/>
      <c r="AS137" s="23"/>
      <c r="AT137" s="9"/>
      <c r="AU137" s="9" t="str">
        <f t="shared" si="11"/>
        <v/>
      </c>
      <c r="AV137" s="23"/>
      <c r="AW137" s="23"/>
      <c r="AX137" s="23"/>
      <c r="AY137" s="23"/>
      <c r="AZ137" s="23"/>
      <c r="BA137" s="23"/>
      <c r="BB137" s="9"/>
    </row>
    <row r="138" spans="1:54" ht="67.5" x14ac:dyDescent="0.3">
      <c r="A138" s="8" t="s">
        <v>65</v>
      </c>
      <c r="B138" s="9" t="s">
        <v>66</v>
      </c>
      <c r="C138" s="22" t="s">
        <v>1618</v>
      </c>
      <c r="D138" s="9">
        <v>20260715</v>
      </c>
      <c r="E138" s="22">
        <v>75000</v>
      </c>
      <c r="F138" s="22">
        <v>7500</v>
      </c>
      <c r="G138" s="9">
        <v>82500</v>
      </c>
      <c r="H138" s="22" t="s">
        <v>191</v>
      </c>
      <c r="I138" s="8"/>
      <c r="J138" s="22" t="s">
        <v>1165</v>
      </c>
      <c r="K138" s="22" t="s">
        <v>1166</v>
      </c>
      <c r="L138" s="22" t="s">
        <v>1167</v>
      </c>
      <c r="M138" s="22" t="s">
        <v>678</v>
      </c>
      <c r="N138" s="22" t="s">
        <v>1168</v>
      </c>
      <c r="O138" s="22" t="s">
        <v>1169</v>
      </c>
      <c r="P138" s="22" t="s">
        <v>1171</v>
      </c>
      <c r="Q138" s="22" t="s">
        <v>259</v>
      </c>
      <c r="R138" s="22" t="s">
        <v>1170</v>
      </c>
      <c r="S138" s="9"/>
      <c r="T138" s="9"/>
      <c r="U138" s="9"/>
      <c r="V138" s="9"/>
      <c r="W138" s="9" t="str">
        <f t="shared" si="8"/>
        <v>20260715</v>
      </c>
      <c r="X138" s="22" t="s">
        <v>1626</v>
      </c>
      <c r="Y138" s="23"/>
      <c r="Z138" s="22">
        <v>1</v>
      </c>
      <c r="AA138" s="22">
        <v>75000</v>
      </c>
      <c r="AB138" s="22">
        <v>75000</v>
      </c>
      <c r="AC138" s="22">
        <v>7500</v>
      </c>
      <c r="AD138" s="9"/>
      <c r="AE138" s="9" t="str">
        <f t="shared" si="9"/>
        <v/>
      </c>
      <c r="AF138" s="23"/>
      <c r="AG138" s="23"/>
      <c r="AH138" s="23"/>
      <c r="AI138" s="23"/>
      <c r="AJ138" s="23"/>
      <c r="AK138" s="23"/>
      <c r="AL138" s="9"/>
      <c r="AM138" s="9" t="str">
        <f t="shared" si="10"/>
        <v/>
      </c>
      <c r="AN138" s="23"/>
      <c r="AO138" s="23"/>
      <c r="AP138" s="23"/>
      <c r="AQ138" s="23"/>
      <c r="AR138" s="23"/>
      <c r="AS138" s="23"/>
      <c r="AT138" s="9"/>
      <c r="AU138" s="9" t="str">
        <f t="shared" si="11"/>
        <v/>
      </c>
      <c r="AV138" s="23"/>
      <c r="AW138" s="23"/>
      <c r="AX138" s="23"/>
      <c r="AY138" s="23"/>
      <c r="AZ138" s="23"/>
      <c r="BA138" s="23"/>
      <c r="BB138" s="9"/>
    </row>
    <row r="139" spans="1:54" ht="40.5" x14ac:dyDescent="0.3">
      <c r="A139" s="8" t="s">
        <v>65</v>
      </c>
      <c r="B139" s="9" t="s">
        <v>66</v>
      </c>
      <c r="C139" s="22" t="s">
        <v>1618</v>
      </c>
      <c r="D139" s="9">
        <v>20260715</v>
      </c>
      <c r="E139" s="22">
        <v>200000</v>
      </c>
      <c r="F139" s="22">
        <v>20000</v>
      </c>
      <c r="G139" s="9">
        <v>220000</v>
      </c>
      <c r="H139" s="22" t="s">
        <v>192</v>
      </c>
      <c r="I139" s="8"/>
      <c r="J139" s="22" t="s">
        <v>1172</v>
      </c>
      <c r="K139" s="22" t="s">
        <v>1173</v>
      </c>
      <c r="L139" s="22" t="s">
        <v>1174</v>
      </c>
      <c r="M139" s="22" t="s">
        <v>273</v>
      </c>
      <c r="N139" s="22" t="s">
        <v>1175</v>
      </c>
      <c r="O139" s="22" t="s">
        <v>1176</v>
      </c>
      <c r="P139" s="22" t="s">
        <v>1179</v>
      </c>
      <c r="Q139" s="22" t="s">
        <v>1177</v>
      </c>
      <c r="R139" s="22" t="s">
        <v>1178</v>
      </c>
      <c r="S139" s="9"/>
      <c r="T139" s="9"/>
      <c r="U139" s="9"/>
      <c r="V139" s="9"/>
      <c r="W139" s="9" t="str">
        <f t="shared" si="8"/>
        <v>20260715</v>
      </c>
      <c r="X139" s="22" t="s">
        <v>1633</v>
      </c>
      <c r="Y139" s="23"/>
      <c r="Z139" s="22">
        <v>1</v>
      </c>
      <c r="AA139" s="22">
        <v>200000</v>
      </c>
      <c r="AB139" s="22">
        <v>200000</v>
      </c>
      <c r="AC139" s="22">
        <v>20000</v>
      </c>
      <c r="AD139" s="9"/>
      <c r="AE139" s="9" t="str">
        <f t="shared" si="9"/>
        <v/>
      </c>
      <c r="AF139" s="23"/>
      <c r="AG139" s="23"/>
      <c r="AH139" s="23"/>
      <c r="AI139" s="23"/>
      <c r="AJ139" s="23"/>
      <c r="AK139" s="23"/>
      <c r="AL139" s="9"/>
      <c r="AM139" s="9" t="str">
        <f t="shared" si="10"/>
        <v/>
      </c>
      <c r="AN139" s="23"/>
      <c r="AO139" s="23"/>
      <c r="AP139" s="23"/>
      <c r="AQ139" s="23"/>
      <c r="AR139" s="23"/>
      <c r="AS139" s="23"/>
      <c r="AT139" s="9"/>
      <c r="AU139" s="9" t="str">
        <f t="shared" si="11"/>
        <v/>
      </c>
      <c r="AV139" s="23"/>
      <c r="AW139" s="23"/>
      <c r="AX139" s="23"/>
      <c r="AY139" s="23"/>
      <c r="AZ139" s="23"/>
      <c r="BA139" s="23"/>
      <c r="BB139" s="9"/>
    </row>
    <row r="140" spans="1:54" ht="81" x14ac:dyDescent="0.3">
      <c r="A140" s="8" t="s">
        <v>65</v>
      </c>
      <c r="B140" s="9" t="s">
        <v>66</v>
      </c>
      <c r="C140" s="22" t="s">
        <v>1618</v>
      </c>
      <c r="D140" s="9">
        <v>20260715</v>
      </c>
      <c r="E140" s="22">
        <v>120000</v>
      </c>
      <c r="F140" s="22">
        <v>12000</v>
      </c>
      <c r="G140" s="9">
        <v>132000</v>
      </c>
      <c r="H140" s="22" t="s">
        <v>193</v>
      </c>
      <c r="I140" s="8"/>
      <c r="J140" s="22" t="s">
        <v>1180</v>
      </c>
      <c r="K140" s="22" t="s">
        <v>1181</v>
      </c>
      <c r="L140" s="22" t="s">
        <v>1182</v>
      </c>
      <c r="M140" s="22" t="s">
        <v>312</v>
      </c>
      <c r="N140" s="22" t="s">
        <v>1183</v>
      </c>
      <c r="O140" s="22" t="s">
        <v>1184</v>
      </c>
      <c r="P140" s="22" t="s">
        <v>1187</v>
      </c>
      <c r="Q140" s="22" t="s">
        <v>1185</v>
      </c>
      <c r="R140" s="22" t="s">
        <v>1186</v>
      </c>
      <c r="S140" s="9"/>
      <c r="T140" s="9"/>
      <c r="U140" s="9"/>
      <c r="V140" s="9"/>
      <c r="W140" s="9" t="str">
        <f t="shared" si="8"/>
        <v>20260715</v>
      </c>
      <c r="X140" s="22" t="s">
        <v>1635</v>
      </c>
      <c r="Y140" s="23"/>
      <c r="Z140" s="22">
        <v>1</v>
      </c>
      <c r="AA140" s="22">
        <v>120000</v>
      </c>
      <c r="AB140" s="22">
        <v>120000</v>
      </c>
      <c r="AC140" s="22">
        <v>12000</v>
      </c>
      <c r="AD140" s="9"/>
      <c r="AE140" s="9" t="str">
        <f t="shared" si="9"/>
        <v/>
      </c>
      <c r="AF140" s="23"/>
      <c r="AG140" s="23"/>
      <c r="AH140" s="23"/>
      <c r="AI140" s="23"/>
      <c r="AJ140" s="23"/>
      <c r="AK140" s="23"/>
      <c r="AL140" s="9"/>
      <c r="AM140" s="9" t="str">
        <f t="shared" si="10"/>
        <v/>
      </c>
      <c r="AN140" s="23"/>
      <c r="AO140" s="23"/>
      <c r="AP140" s="23"/>
      <c r="AQ140" s="23"/>
      <c r="AR140" s="23"/>
      <c r="AS140" s="23"/>
      <c r="AT140" s="9"/>
      <c r="AU140" s="9" t="str">
        <f t="shared" si="11"/>
        <v/>
      </c>
      <c r="AV140" s="23"/>
      <c r="AW140" s="23"/>
      <c r="AX140" s="23"/>
      <c r="AY140" s="23"/>
      <c r="AZ140" s="23"/>
      <c r="BA140" s="23"/>
      <c r="BB140" s="9"/>
    </row>
    <row r="141" spans="1:54" ht="54" x14ac:dyDescent="0.3">
      <c r="A141" s="8" t="s">
        <v>65</v>
      </c>
      <c r="B141" s="9" t="s">
        <v>66</v>
      </c>
      <c r="C141" s="22" t="s">
        <v>1618</v>
      </c>
      <c r="D141" s="9">
        <v>20260715</v>
      </c>
      <c r="E141" s="22">
        <v>403000</v>
      </c>
      <c r="F141" s="22">
        <v>40300</v>
      </c>
      <c r="G141" s="9">
        <v>443300</v>
      </c>
      <c r="H141" s="22" t="s">
        <v>194</v>
      </c>
      <c r="I141" s="8"/>
      <c r="J141" s="22" t="s">
        <v>1188</v>
      </c>
      <c r="K141" s="22" t="s">
        <v>1189</v>
      </c>
      <c r="L141" s="22" t="s">
        <v>1190</v>
      </c>
      <c r="M141" s="22" t="s">
        <v>1191</v>
      </c>
      <c r="N141" s="22" t="s">
        <v>1192</v>
      </c>
      <c r="O141" s="22" t="s">
        <v>1193</v>
      </c>
      <c r="P141" s="22" t="s">
        <v>1196</v>
      </c>
      <c r="Q141" s="22" t="s">
        <v>1194</v>
      </c>
      <c r="R141" s="22" t="s">
        <v>1195</v>
      </c>
      <c r="S141" s="9"/>
      <c r="T141" s="9"/>
      <c r="U141" s="9"/>
      <c r="V141" s="9"/>
      <c r="W141" s="9" t="str">
        <f t="shared" si="8"/>
        <v>20260715</v>
      </c>
      <c r="X141" s="22" t="s">
        <v>1673</v>
      </c>
      <c r="Y141" s="23"/>
      <c r="Z141" s="22">
        <v>1</v>
      </c>
      <c r="AA141" s="22">
        <v>100000</v>
      </c>
      <c r="AB141" s="22">
        <v>100000</v>
      </c>
      <c r="AC141" s="22">
        <v>10000</v>
      </c>
      <c r="AD141" s="9"/>
      <c r="AE141" s="9" t="str">
        <f t="shared" si="9"/>
        <v>20260715</v>
      </c>
      <c r="AF141" s="22" t="s">
        <v>1684</v>
      </c>
      <c r="AG141" s="23"/>
      <c r="AH141" s="22">
        <v>1</v>
      </c>
      <c r="AI141" s="22">
        <v>100000</v>
      </c>
      <c r="AJ141" s="22">
        <v>100000</v>
      </c>
      <c r="AK141" s="22">
        <v>10000</v>
      </c>
      <c r="AL141" s="9"/>
      <c r="AM141" s="9" t="str">
        <f t="shared" si="10"/>
        <v>20260715</v>
      </c>
      <c r="AN141" s="22" t="s">
        <v>1705</v>
      </c>
      <c r="AO141" s="23"/>
      <c r="AP141" s="22">
        <v>1</v>
      </c>
      <c r="AQ141" s="22">
        <v>173000</v>
      </c>
      <c r="AR141" s="22">
        <v>173000</v>
      </c>
      <c r="AS141" s="22">
        <v>17300</v>
      </c>
      <c r="AT141" s="9"/>
      <c r="AU141" s="9" t="str">
        <f t="shared" si="11"/>
        <v>20260715</v>
      </c>
      <c r="AV141" s="22" t="s">
        <v>1703</v>
      </c>
      <c r="AW141" s="23"/>
      <c r="AX141" s="22">
        <v>1</v>
      </c>
      <c r="AY141" s="22">
        <v>30000</v>
      </c>
      <c r="AZ141" s="22">
        <v>30000</v>
      </c>
      <c r="BA141" s="22">
        <v>3000</v>
      </c>
      <c r="BB141" s="9"/>
    </row>
    <row r="142" spans="1:54" ht="54" x14ac:dyDescent="0.3">
      <c r="A142" s="8" t="s">
        <v>65</v>
      </c>
      <c r="B142" s="9" t="s">
        <v>66</v>
      </c>
      <c r="C142" s="22" t="s">
        <v>1618</v>
      </c>
      <c r="D142" s="9">
        <v>20260715</v>
      </c>
      <c r="E142" s="22">
        <v>196000</v>
      </c>
      <c r="F142" s="22">
        <v>19600</v>
      </c>
      <c r="G142" s="9">
        <v>215600</v>
      </c>
      <c r="H142" s="22" t="s">
        <v>195</v>
      </c>
      <c r="I142" s="8"/>
      <c r="J142" s="22" t="s">
        <v>1197</v>
      </c>
      <c r="K142" s="22" t="s">
        <v>1198</v>
      </c>
      <c r="L142" s="22" t="s">
        <v>1199</v>
      </c>
      <c r="M142" s="22" t="s">
        <v>1200</v>
      </c>
      <c r="N142" s="22" t="s">
        <v>1201</v>
      </c>
      <c r="O142" s="22" t="s">
        <v>1202</v>
      </c>
      <c r="P142" s="22" t="s">
        <v>1204</v>
      </c>
      <c r="Q142" s="22" t="s">
        <v>1203</v>
      </c>
      <c r="R142" s="22" t="s">
        <v>292</v>
      </c>
      <c r="S142" s="9"/>
      <c r="T142" s="9"/>
      <c r="U142" s="9"/>
      <c r="V142" s="9"/>
      <c r="W142" s="9" t="str">
        <f t="shared" si="8"/>
        <v>20260715</v>
      </c>
      <c r="X142" s="22" t="s">
        <v>1634</v>
      </c>
      <c r="Y142" s="23"/>
      <c r="Z142" s="22">
        <v>1</v>
      </c>
      <c r="AA142" s="22">
        <v>196000</v>
      </c>
      <c r="AB142" s="22">
        <v>196000</v>
      </c>
      <c r="AC142" s="22">
        <v>19600</v>
      </c>
      <c r="AD142" s="9"/>
      <c r="AE142" s="9" t="str">
        <f t="shared" si="9"/>
        <v/>
      </c>
      <c r="AF142" s="23"/>
      <c r="AG142" s="23"/>
      <c r="AH142" s="23"/>
      <c r="AI142" s="23"/>
      <c r="AJ142" s="23"/>
      <c r="AK142" s="23"/>
      <c r="AL142" s="9"/>
      <c r="AM142" s="9" t="str">
        <f t="shared" si="10"/>
        <v/>
      </c>
      <c r="AN142" s="23"/>
      <c r="AO142" s="23"/>
      <c r="AP142" s="23"/>
      <c r="AQ142" s="23"/>
      <c r="AR142" s="23"/>
      <c r="AS142" s="23"/>
      <c r="AT142" s="9"/>
      <c r="AU142" s="9" t="str">
        <f t="shared" si="11"/>
        <v/>
      </c>
      <c r="AV142" s="23"/>
      <c r="AW142" s="23"/>
      <c r="AX142" s="23"/>
      <c r="AY142" s="23"/>
      <c r="AZ142" s="23"/>
      <c r="BA142" s="23"/>
      <c r="BB142" s="9"/>
    </row>
    <row r="143" spans="1:54" ht="67.5" x14ac:dyDescent="0.3">
      <c r="A143" s="8" t="s">
        <v>65</v>
      </c>
      <c r="B143" s="9" t="s">
        <v>66</v>
      </c>
      <c r="C143" s="22" t="s">
        <v>1618</v>
      </c>
      <c r="D143" s="9">
        <v>20260715</v>
      </c>
      <c r="E143" s="22">
        <v>300000</v>
      </c>
      <c r="F143" s="22">
        <v>30000</v>
      </c>
      <c r="G143" s="9">
        <v>330000</v>
      </c>
      <c r="H143" s="22" t="s">
        <v>183</v>
      </c>
      <c r="I143" s="8"/>
      <c r="J143" s="22" t="s">
        <v>1111</v>
      </c>
      <c r="K143" s="22" t="s">
        <v>1112</v>
      </c>
      <c r="L143" s="22" t="s">
        <v>1113</v>
      </c>
      <c r="M143" s="22" t="s">
        <v>1114</v>
      </c>
      <c r="N143" s="22" t="s">
        <v>1115</v>
      </c>
      <c r="O143" s="22" t="s">
        <v>291</v>
      </c>
      <c r="P143" s="22" t="s">
        <v>1116</v>
      </c>
      <c r="Q143" s="22" t="s">
        <v>1205</v>
      </c>
      <c r="R143" s="22" t="s">
        <v>292</v>
      </c>
      <c r="S143" s="9"/>
      <c r="T143" s="9"/>
      <c r="U143" s="9"/>
      <c r="V143" s="9"/>
      <c r="W143" s="9" t="str">
        <f t="shared" si="8"/>
        <v>20260715</v>
      </c>
      <c r="X143" s="22" t="s">
        <v>1670</v>
      </c>
      <c r="Y143" s="23"/>
      <c r="Z143" s="22">
        <v>1</v>
      </c>
      <c r="AA143" s="22">
        <v>300000</v>
      </c>
      <c r="AB143" s="22">
        <v>300000</v>
      </c>
      <c r="AC143" s="22">
        <v>30000</v>
      </c>
      <c r="AD143" s="9"/>
      <c r="AE143" s="9" t="str">
        <f t="shared" si="9"/>
        <v/>
      </c>
      <c r="AF143" s="23"/>
      <c r="AG143" s="23"/>
      <c r="AH143" s="23"/>
      <c r="AI143" s="23"/>
      <c r="AJ143" s="23"/>
      <c r="AK143" s="23"/>
      <c r="AL143" s="9"/>
      <c r="AM143" s="9" t="str">
        <f t="shared" si="10"/>
        <v/>
      </c>
      <c r="AN143" s="23"/>
      <c r="AO143" s="23"/>
      <c r="AP143" s="23"/>
      <c r="AQ143" s="23"/>
      <c r="AR143" s="23"/>
      <c r="AS143" s="23"/>
      <c r="AT143" s="9"/>
      <c r="AU143" s="9" t="str">
        <f t="shared" si="11"/>
        <v/>
      </c>
      <c r="AV143" s="23"/>
      <c r="AW143" s="23"/>
      <c r="AX143" s="23"/>
      <c r="AY143" s="23"/>
      <c r="AZ143" s="23"/>
      <c r="BA143" s="23"/>
      <c r="BB143" s="9"/>
    </row>
    <row r="144" spans="1:54" ht="67.5" x14ac:dyDescent="0.3">
      <c r="A144" s="8" t="s">
        <v>65</v>
      </c>
      <c r="B144" s="9" t="s">
        <v>66</v>
      </c>
      <c r="C144" s="22" t="s">
        <v>1618</v>
      </c>
      <c r="D144" s="9">
        <v>20260715</v>
      </c>
      <c r="E144" s="22">
        <v>240000</v>
      </c>
      <c r="F144" s="22">
        <v>24000</v>
      </c>
      <c r="G144" s="9">
        <v>264000</v>
      </c>
      <c r="H144" s="22" t="s">
        <v>82</v>
      </c>
      <c r="I144" s="8"/>
      <c r="J144" s="22" t="s">
        <v>363</v>
      </c>
      <c r="K144" s="22" t="s">
        <v>364</v>
      </c>
      <c r="L144" s="22" t="s">
        <v>365</v>
      </c>
      <c r="M144" s="22" t="s">
        <v>366</v>
      </c>
      <c r="N144" s="22" t="s">
        <v>367</v>
      </c>
      <c r="O144" s="22" t="s">
        <v>368</v>
      </c>
      <c r="P144" s="22" t="s">
        <v>371</v>
      </c>
      <c r="Q144" s="22" t="s">
        <v>369</v>
      </c>
      <c r="R144" s="22" t="s">
        <v>370</v>
      </c>
      <c r="S144" s="9"/>
      <c r="T144" s="9"/>
      <c r="U144" s="9"/>
      <c r="V144" s="9"/>
      <c r="W144" s="9" t="str">
        <f t="shared" si="8"/>
        <v>20260715</v>
      </c>
      <c r="X144" s="22" t="s">
        <v>1623</v>
      </c>
      <c r="Y144" s="23"/>
      <c r="Z144" s="22">
        <v>1</v>
      </c>
      <c r="AA144" s="22">
        <v>100000</v>
      </c>
      <c r="AB144" s="22">
        <v>100000</v>
      </c>
      <c r="AC144" s="22">
        <v>10000</v>
      </c>
      <c r="AD144" s="9"/>
      <c r="AE144" s="9" t="str">
        <f t="shared" si="9"/>
        <v>20260715</v>
      </c>
      <c r="AF144" s="22" t="s">
        <v>1656</v>
      </c>
      <c r="AG144" s="23"/>
      <c r="AH144" s="22">
        <v>1</v>
      </c>
      <c r="AI144" s="22">
        <v>140000</v>
      </c>
      <c r="AJ144" s="22">
        <v>140000</v>
      </c>
      <c r="AK144" s="22">
        <v>14000</v>
      </c>
      <c r="AL144" s="9"/>
      <c r="AM144" s="9" t="str">
        <f t="shared" si="10"/>
        <v/>
      </c>
      <c r="AN144" s="23"/>
      <c r="AO144" s="23"/>
      <c r="AP144" s="23"/>
      <c r="AQ144" s="23"/>
      <c r="AR144" s="23"/>
      <c r="AS144" s="23"/>
      <c r="AT144" s="9"/>
      <c r="AU144" s="9" t="str">
        <f t="shared" si="11"/>
        <v/>
      </c>
      <c r="AV144" s="23"/>
      <c r="AW144" s="23"/>
      <c r="AX144" s="23"/>
      <c r="AY144" s="23"/>
      <c r="AZ144" s="23"/>
      <c r="BA144" s="23"/>
      <c r="BB144" s="9"/>
    </row>
    <row r="145" spans="1:54" ht="54" x14ac:dyDescent="0.3">
      <c r="A145" s="8" t="s">
        <v>65</v>
      </c>
      <c r="B145" s="9" t="s">
        <v>66</v>
      </c>
      <c r="C145" s="22" t="s">
        <v>1618</v>
      </c>
      <c r="D145" s="9">
        <v>20260715</v>
      </c>
      <c r="E145" s="22">
        <v>304400</v>
      </c>
      <c r="F145" s="22">
        <v>30440</v>
      </c>
      <c r="G145" s="9">
        <v>334840</v>
      </c>
      <c r="H145" s="22" t="s">
        <v>196</v>
      </c>
      <c r="I145" s="8"/>
      <c r="J145" s="22" t="s">
        <v>1206</v>
      </c>
      <c r="K145" s="22" t="s">
        <v>1207</v>
      </c>
      <c r="L145" s="22" t="s">
        <v>1208</v>
      </c>
      <c r="M145" s="22" t="s">
        <v>1209</v>
      </c>
      <c r="N145" s="22" t="s">
        <v>1210</v>
      </c>
      <c r="O145" s="22" t="s">
        <v>1211</v>
      </c>
      <c r="P145" s="22" t="s">
        <v>1214</v>
      </c>
      <c r="Q145" s="22" t="s">
        <v>1212</v>
      </c>
      <c r="R145" s="22" t="s">
        <v>1213</v>
      </c>
      <c r="S145" s="9"/>
      <c r="T145" s="9"/>
      <c r="U145" s="9"/>
      <c r="V145" s="9"/>
      <c r="W145" s="9" t="str">
        <f t="shared" si="8"/>
        <v>20260715</v>
      </c>
      <c r="X145" s="22" t="s">
        <v>1621</v>
      </c>
      <c r="Y145" s="23"/>
      <c r="Z145" s="22">
        <v>1</v>
      </c>
      <c r="AA145" s="22">
        <v>239400</v>
      </c>
      <c r="AB145" s="22">
        <v>239400</v>
      </c>
      <c r="AC145" s="22">
        <v>23940</v>
      </c>
      <c r="AD145" s="9"/>
      <c r="AE145" s="9" t="str">
        <f t="shared" si="9"/>
        <v>20260715</v>
      </c>
      <c r="AF145" s="22" t="s">
        <v>1626</v>
      </c>
      <c r="AG145" s="23"/>
      <c r="AH145" s="22">
        <v>1</v>
      </c>
      <c r="AI145" s="22">
        <v>65000</v>
      </c>
      <c r="AJ145" s="22">
        <v>65000</v>
      </c>
      <c r="AK145" s="22">
        <v>6500</v>
      </c>
      <c r="AL145" s="9"/>
      <c r="AM145" s="9" t="str">
        <f t="shared" si="10"/>
        <v/>
      </c>
      <c r="AN145" s="23"/>
      <c r="AO145" s="23"/>
      <c r="AP145" s="23"/>
      <c r="AQ145" s="23"/>
      <c r="AR145" s="23"/>
      <c r="AS145" s="23"/>
      <c r="AT145" s="9"/>
      <c r="AU145" s="9" t="str">
        <f t="shared" si="11"/>
        <v/>
      </c>
      <c r="AV145" s="23"/>
      <c r="AW145" s="23"/>
      <c r="AX145" s="23"/>
      <c r="AY145" s="23"/>
      <c r="AZ145" s="23"/>
      <c r="BA145" s="23"/>
      <c r="BB145" s="9"/>
    </row>
    <row r="146" spans="1:54" ht="54" x14ac:dyDescent="0.3">
      <c r="A146" s="8" t="s">
        <v>65</v>
      </c>
      <c r="B146" s="9" t="s">
        <v>66</v>
      </c>
      <c r="C146" s="22" t="s">
        <v>1618</v>
      </c>
      <c r="D146" s="9">
        <v>20260715</v>
      </c>
      <c r="E146" s="22">
        <v>100000</v>
      </c>
      <c r="F146" s="22">
        <v>10000</v>
      </c>
      <c r="G146" s="9">
        <v>110000</v>
      </c>
      <c r="H146" s="22" t="s">
        <v>197</v>
      </c>
      <c r="I146" s="8"/>
      <c r="J146" s="22" t="s">
        <v>1215</v>
      </c>
      <c r="K146" s="22" t="s">
        <v>1216</v>
      </c>
      <c r="L146" s="22" t="s">
        <v>1217</v>
      </c>
      <c r="M146" s="22" t="s">
        <v>1218</v>
      </c>
      <c r="N146" s="22" t="s">
        <v>1219</v>
      </c>
      <c r="O146" s="22" t="s">
        <v>1220</v>
      </c>
      <c r="P146" s="22" t="s">
        <v>1222</v>
      </c>
      <c r="Q146" s="22" t="s">
        <v>259</v>
      </c>
      <c r="R146" s="22" t="s">
        <v>1221</v>
      </c>
      <c r="S146" s="9"/>
      <c r="T146" s="9"/>
      <c r="U146" s="9"/>
      <c r="V146" s="9"/>
      <c r="W146" s="9" t="str">
        <f t="shared" si="8"/>
        <v>20260715</v>
      </c>
      <c r="X146" s="22" t="s">
        <v>1634</v>
      </c>
      <c r="Y146" s="23"/>
      <c r="Z146" s="22">
        <v>1</v>
      </c>
      <c r="AA146" s="22">
        <v>100000</v>
      </c>
      <c r="AB146" s="22">
        <v>100000</v>
      </c>
      <c r="AC146" s="22">
        <v>10000</v>
      </c>
      <c r="AD146" s="9"/>
      <c r="AE146" s="9" t="str">
        <f t="shared" si="9"/>
        <v/>
      </c>
      <c r="AF146" s="23"/>
      <c r="AG146" s="23"/>
      <c r="AH146" s="23"/>
      <c r="AI146" s="23"/>
      <c r="AJ146" s="23"/>
      <c r="AK146" s="23"/>
      <c r="AL146" s="9"/>
      <c r="AM146" s="9" t="str">
        <f t="shared" si="10"/>
        <v/>
      </c>
      <c r="AN146" s="23"/>
      <c r="AO146" s="23"/>
      <c r="AP146" s="23"/>
      <c r="AQ146" s="23"/>
      <c r="AR146" s="23"/>
      <c r="AS146" s="23"/>
      <c r="AT146" s="9"/>
      <c r="AU146" s="9" t="str">
        <f t="shared" si="11"/>
        <v/>
      </c>
      <c r="AV146" s="23"/>
      <c r="AW146" s="23"/>
      <c r="AX146" s="23"/>
      <c r="AY146" s="23"/>
      <c r="AZ146" s="23"/>
      <c r="BA146" s="23"/>
      <c r="BB146" s="9"/>
    </row>
    <row r="147" spans="1:54" ht="67.5" x14ac:dyDescent="0.3">
      <c r="A147" s="8" t="s">
        <v>65</v>
      </c>
      <c r="B147" s="9" t="s">
        <v>66</v>
      </c>
      <c r="C147" s="22" t="s">
        <v>1618</v>
      </c>
      <c r="D147" s="9">
        <v>20260715</v>
      </c>
      <c r="E147" s="22">
        <v>350000</v>
      </c>
      <c r="F147" s="22">
        <v>35000</v>
      </c>
      <c r="G147" s="9">
        <v>385000</v>
      </c>
      <c r="H147" s="22" t="s">
        <v>198</v>
      </c>
      <c r="I147" s="8"/>
      <c r="J147" s="22" t="s">
        <v>1223</v>
      </c>
      <c r="K147" s="22" t="s">
        <v>1224</v>
      </c>
      <c r="L147" s="22" t="s">
        <v>1225</v>
      </c>
      <c r="M147" s="22" t="s">
        <v>1226</v>
      </c>
      <c r="N147" s="22" t="s">
        <v>1227</v>
      </c>
      <c r="O147" s="22" t="s">
        <v>1228</v>
      </c>
      <c r="P147" s="22" t="s">
        <v>1230</v>
      </c>
      <c r="Q147" s="22" t="s">
        <v>1229</v>
      </c>
      <c r="R147" s="22" t="s">
        <v>292</v>
      </c>
      <c r="S147" s="9"/>
      <c r="T147" s="9"/>
      <c r="U147" s="9"/>
      <c r="V147" s="9"/>
      <c r="W147" s="9" t="str">
        <f t="shared" si="8"/>
        <v>20260715</v>
      </c>
      <c r="X147" s="22" t="s">
        <v>1635</v>
      </c>
      <c r="Y147" s="23"/>
      <c r="Z147" s="22">
        <v>1</v>
      </c>
      <c r="AA147" s="22">
        <v>200000</v>
      </c>
      <c r="AB147" s="22">
        <v>200000</v>
      </c>
      <c r="AC147" s="22">
        <v>20000</v>
      </c>
      <c r="AD147" s="9"/>
      <c r="AE147" s="9" t="str">
        <f t="shared" si="9"/>
        <v>20260715</v>
      </c>
      <c r="AF147" s="22" t="s">
        <v>1641</v>
      </c>
      <c r="AG147" s="23"/>
      <c r="AH147" s="22">
        <v>1</v>
      </c>
      <c r="AI147" s="22">
        <v>150000</v>
      </c>
      <c r="AJ147" s="22">
        <v>150000</v>
      </c>
      <c r="AK147" s="22">
        <v>15000</v>
      </c>
      <c r="AL147" s="9"/>
      <c r="AM147" s="9" t="str">
        <f t="shared" si="10"/>
        <v/>
      </c>
      <c r="AN147" s="23"/>
      <c r="AO147" s="23"/>
      <c r="AP147" s="23"/>
      <c r="AQ147" s="23"/>
      <c r="AR147" s="23"/>
      <c r="AS147" s="23"/>
      <c r="AT147" s="9"/>
      <c r="AU147" s="9" t="str">
        <f t="shared" si="11"/>
        <v/>
      </c>
      <c r="AV147" s="23"/>
      <c r="AW147" s="23"/>
      <c r="AX147" s="23"/>
      <c r="AY147" s="23"/>
      <c r="AZ147" s="23"/>
      <c r="BA147" s="23"/>
      <c r="BB147" s="9"/>
    </row>
    <row r="148" spans="1:54" ht="67.5" x14ac:dyDescent="0.3">
      <c r="A148" s="8" t="s">
        <v>65</v>
      </c>
      <c r="B148" s="9" t="s">
        <v>66</v>
      </c>
      <c r="C148" s="22" t="s">
        <v>1618</v>
      </c>
      <c r="D148" s="9">
        <v>20260715</v>
      </c>
      <c r="E148" s="22">
        <v>300000</v>
      </c>
      <c r="F148" s="22">
        <v>30000</v>
      </c>
      <c r="G148" s="9">
        <v>330000</v>
      </c>
      <c r="H148" s="22" t="s">
        <v>199</v>
      </c>
      <c r="I148" s="8"/>
      <c r="J148" s="22" t="s">
        <v>1231</v>
      </c>
      <c r="K148" s="22" t="s">
        <v>1232</v>
      </c>
      <c r="L148" s="22" t="s">
        <v>1233</v>
      </c>
      <c r="M148" s="22" t="s">
        <v>1234</v>
      </c>
      <c r="N148" s="22" t="s">
        <v>1235</v>
      </c>
      <c r="O148" s="22" t="s">
        <v>291</v>
      </c>
      <c r="P148" s="22" t="s">
        <v>1236</v>
      </c>
      <c r="Q148" s="22" t="s">
        <v>292</v>
      </c>
      <c r="R148" s="22" t="s">
        <v>292</v>
      </c>
      <c r="S148" s="9"/>
      <c r="T148" s="9"/>
      <c r="U148" s="9"/>
      <c r="V148" s="9"/>
      <c r="W148" s="9" t="str">
        <f t="shared" si="8"/>
        <v>20260715</v>
      </c>
      <c r="X148" s="22" t="s">
        <v>1670</v>
      </c>
      <c r="Y148" s="23"/>
      <c r="Z148" s="22">
        <v>1</v>
      </c>
      <c r="AA148" s="22">
        <v>300000</v>
      </c>
      <c r="AB148" s="22">
        <v>300000</v>
      </c>
      <c r="AC148" s="22">
        <v>30000</v>
      </c>
      <c r="AD148" s="9"/>
      <c r="AE148" s="9" t="str">
        <f t="shared" si="9"/>
        <v/>
      </c>
      <c r="AF148" s="23"/>
      <c r="AG148" s="23"/>
      <c r="AH148" s="23"/>
      <c r="AI148" s="23"/>
      <c r="AJ148" s="23"/>
      <c r="AK148" s="23"/>
      <c r="AL148" s="9"/>
      <c r="AM148" s="9" t="str">
        <f t="shared" si="10"/>
        <v/>
      </c>
      <c r="AN148" s="23"/>
      <c r="AO148" s="23"/>
      <c r="AP148" s="23"/>
      <c r="AQ148" s="23"/>
      <c r="AR148" s="23"/>
      <c r="AS148" s="23"/>
      <c r="AT148" s="9"/>
      <c r="AU148" s="9" t="str">
        <f t="shared" si="11"/>
        <v/>
      </c>
      <c r="AV148" s="23"/>
      <c r="AW148" s="23"/>
      <c r="AX148" s="23"/>
      <c r="AY148" s="23"/>
      <c r="AZ148" s="23"/>
      <c r="BA148" s="23"/>
      <c r="BB148" s="9"/>
    </row>
    <row r="149" spans="1:54" ht="54" x14ac:dyDescent="0.3">
      <c r="A149" s="8" t="s">
        <v>65</v>
      </c>
      <c r="B149" s="9" t="s">
        <v>66</v>
      </c>
      <c r="C149" s="22" t="s">
        <v>1618</v>
      </c>
      <c r="D149" s="9">
        <v>20260715</v>
      </c>
      <c r="E149" s="22">
        <v>238050</v>
      </c>
      <c r="F149" s="22">
        <v>23805</v>
      </c>
      <c r="G149" s="9">
        <v>261855</v>
      </c>
      <c r="H149" s="22" t="s">
        <v>200</v>
      </c>
      <c r="I149" s="8"/>
      <c r="J149" s="22" t="s">
        <v>1237</v>
      </c>
      <c r="K149" s="22" t="s">
        <v>1238</v>
      </c>
      <c r="L149" s="22" t="s">
        <v>1239</v>
      </c>
      <c r="M149" s="22" t="s">
        <v>1240</v>
      </c>
      <c r="N149" s="22" t="s">
        <v>1241</v>
      </c>
      <c r="O149" s="22" t="s">
        <v>1242</v>
      </c>
      <c r="P149" s="22" t="s">
        <v>1245</v>
      </c>
      <c r="Q149" s="22" t="s">
        <v>1243</v>
      </c>
      <c r="R149" s="22" t="s">
        <v>1244</v>
      </c>
      <c r="S149" s="9"/>
      <c r="T149" s="9"/>
      <c r="U149" s="9"/>
      <c r="V149" s="9"/>
      <c r="W149" s="9" t="str">
        <f t="shared" si="8"/>
        <v>20260715</v>
      </c>
      <c r="X149" s="22" t="s">
        <v>1621</v>
      </c>
      <c r="Y149" s="23"/>
      <c r="Z149" s="22">
        <v>1</v>
      </c>
      <c r="AA149" s="22">
        <v>213750</v>
      </c>
      <c r="AB149" s="22">
        <v>213750</v>
      </c>
      <c r="AC149" s="22">
        <v>21375</v>
      </c>
      <c r="AD149" s="9"/>
      <c r="AE149" s="9" t="str">
        <f t="shared" si="9"/>
        <v>20260715</v>
      </c>
      <c r="AF149" s="22" t="s">
        <v>1626</v>
      </c>
      <c r="AG149" s="23"/>
      <c r="AH149" s="22">
        <v>1</v>
      </c>
      <c r="AI149" s="22">
        <v>24300</v>
      </c>
      <c r="AJ149" s="22">
        <v>24300</v>
      </c>
      <c r="AK149" s="22">
        <v>2430</v>
      </c>
      <c r="AL149" s="9"/>
      <c r="AM149" s="9" t="str">
        <f t="shared" si="10"/>
        <v/>
      </c>
      <c r="AN149" s="23"/>
      <c r="AO149" s="23"/>
      <c r="AP149" s="23"/>
      <c r="AQ149" s="23"/>
      <c r="AR149" s="23"/>
      <c r="AS149" s="23"/>
      <c r="AT149" s="9"/>
      <c r="AU149" s="9" t="str">
        <f t="shared" si="11"/>
        <v/>
      </c>
      <c r="AV149" s="23"/>
      <c r="AW149" s="23"/>
      <c r="AX149" s="23"/>
      <c r="AY149" s="23"/>
      <c r="AZ149" s="23"/>
      <c r="BA149" s="23"/>
      <c r="BB149" s="9"/>
    </row>
    <row r="150" spans="1:54" ht="67.5" x14ac:dyDescent="0.3">
      <c r="A150" s="8" t="s">
        <v>65</v>
      </c>
      <c r="B150" s="9" t="s">
        <v>66</v>
      </c>
      <c r="C150" s="22" t="s">
        <v>1618</v>
      </c>
      <c r="D150" s="9">
        <v>20260715</v>
      </c>
      <c r="E150" s="22">
        <v>1050410</v>
      </c>
      <c r="F150" s="22">
        <v>105040</v>
      </c>
      <c r="G150" s="9">
        <v>1155450</v>
      </c>
      <c r="H150" s="22" t="s">
        <v>201</v>
      </c>
      <c r="I150" s="8"/>
      <c r="J150" s="22" t="s">
        <v>1246</v>
      </c>
      <c r="K150" s="22" t="s">
        <v>1247</v>
      </c>
      <c r="L150" s="22" t="s">
        <v>1248</v>
      </c>
      <c r="M150" s="22" t="s">
        <v>273</v>
      </c>
      <c r="N150" s="22" t="s">
        <v>1249</v>
      </c>
      <c r="O150" s="22" t="s">
        <v>1250</v>
      </c>
      <c r="P150" s="22" t="s">
        <v>1253</v>
      </c>
      <c r="Q150" s="22" t="s">
        <v>1251</v>
      </c>
      <c r="R150" s="22" t="s">
        <v>1252</v>
      </c>
      <c r="S150" s="9"/>
      <c r="T150" s="9"/>
      <c r="U150" s="9"/>
      <c r="V150" s="9"/>
      <c r="W150" s="9" t="str">
        <f t="shared" si="8"/>
        <v>20260715</v>
      </c>
      <c r="X150" s="22" t="s">
        <v>1620</v>
      </c>
      <c r="Y150" s="23"/>
      <c r="Z150" s="22">
        <v>1</v>
      </c>
      <c r="AA150" s="22">
        <v>1050410</v>
      </c>
      <c r="AB150" s="22">
        <v>1050410</v>
      </c>
      <c r="AC150" s="22">
        <v>105040</v>
      </c>
      <c r="AD150" s="9"/>
      <c r="AE150" s="9" t="str">
        <f t="shared" si="9"/>
        <v/>
      </c>
      <c r="AF150" s="23"/>
      <c r="AG150" s="23"/>
      <c r="AH150" s="23"/>
      <c r="AI150" s="23"/>
      <c r="AJ150" s="23"/>
      <c r="AK150" s="23"/>
      <c r="AL150" s="9"/>
      <c r="AM150" s="9" t="str">
        <f t="shared" si="10"/>
        <v/>
      </c>
      <c r="AN150" s="23"/>
      <c r="AO150" s="23"/>
      <c r="AP150" s="23"/>
      <c r="AQ150" s="23"/>
      <c r="AR150" s="23"/>
      <c r="AS150" s="23"/>
      <c r="AT150" s="9"/>
      <c r="AU150" s="9" t="str">
        <f t="shared" si="11"/>
        <v/>
      </c>
      <c r="AV150" s="23"/>
      <c r="AW150" s="23"/>
      <c r="AX150" s="23"/>
      <c r="AY150" s="23"/>
      <c r="AZ150" s="23"/>
      <c r="BA150" s="23"/>
      <c r="BB150" s="9"/>
    </row>
    <row r="151" spans="1:54" ht="94.5" x14ac:dyDescent="0.3">
      <c r="A151" s="8" t="s">
        <v>65</v>
      </c>
      <c r="B151" s="9" t="s">
        <v>66</v>
      </c>
      <c r="C151" s="22" t="s">
        <v>1618</v>
      </c>
      <c r="D151" s="9">
        <v>20260715</v>
      </c>
      <c r="E151" s="22">
        <v>50000</v>
      </c>
      <c r="F151" s="22">
        <v>5000</v>
      </c>
      <c r="G151" s="9">
        <v>55000</v>
      </c>
      <c r="H151" s="22" t="s">
        <v>109</v>
      </c>
      <c r="I151" s="8"/>
      <c r="J151" s="22" t="s">
        <v>566</v>
      </c>
      <c r="K151" s="22" t="s">
        <v>567</v>
      </c>
      <c r="L151" s="22" t="s">
        <v>568</v>
      </c>
      <c r="M151" s="22" t="s">
        <v>569</v>
      </c>
      <c r="N151" s="22" t="s">
        <v>570</v>
      </c>
      <c r="O151" s="22" t="s">
        <v>291</v>
      </c>
      <c r="P151" s="22" t="s">
        <v>571</v>
      </c>
      <c r="Q151" s="22" t="s">
        <v>259</v>
      </c>
      <c r="R151" s="22" t="s">
        <v>292</v>
      </c>
      <c r="S151" s="9"/>
      <c r="T151" s="9"/>
      <c r="U151" s="9"/>
      <c r="V151" s="9"/>
      <c r="W151" s="9" t="str">
        <f t="shared" si="8"/>
        <v>20260715</v>
      </c>
      <c r="X151" s="22" t="s">
        <v>1674</v>
      </c>
      <c r="Y151" s="23"/>
      <c r="Z151" s="22">
        <v>1</v>
      </c>
      <c r="AA151" s="22">
        <v>50000</v>
      </c>
      <c r="AB151" s="22">
        <v>50000</v>
      </c>
      <c r="AC151" s="22">
        <v>5000</v>
      </c>
      <c r="AD151" s="9"/>
      <c r="AE151" s="9" t="str">
        <f t="shared" si="9"/>
        <v/>
      </c>
      <c r="AF151" s="23"/>
      <c r="AG151" s="23"/>
      <c r="AH151" s="23"/>
      <c r="AI151" s="23"/>
      <c r="AJ151" s="23"/>
      <c r="AK151" s="23"/>
      <c r="AL151" s="9"/>
      <c r="AM151" s="9" t="str">
        <f t="shared" si="10"/>
        <v/>
      </c>
      <c r="AN151" s="23"/>
      <c r="AO151" s="23"/>
      <c r="AP151" s="23"/>
      <c r="AQ151" s="23"/>
      <c r="AR151" s="23"/>
      <c r="AS151" s="23"/>
      <c r="AT151" s="9"/>
      <c r="AU151" s="9" t="str">
        <f t="shared" si="11"/>
        <v/>
      </c>
      <c r="AV151" s="23"/>
      <c r="AW151" s="23"/>
      <c r="AX151" s="23"/>
      <c r="AY151" s="23"/>
      <c r="AZ151" s="23"/>
      <c r="BA151" s="23"/>
      <c r="BB151" s="9"/>
    </row>
    <row r="152" spans="1:54" ht="54" x14ac:dyDescent="0.3">
      <c r="A152" s="8" t="s">
        <v>65</v>
      </c>
      <c r="B152" s="9" t="s">
        <v>66</v>
      </c>
      <c r="C152" s="22" t="s">
        <v>1618</v>
      </c>
      <c r="D152" s="9">
        <v>20260715</v>
      </c>
      <c r="E152" s="22">
        <v>80000</v>
      </c>
      <c r="F152" s="22">
        <v>8000</v>
      </c>
      <c r="G152" s="9">
        <v>88000</v>
      </c>
      <c r="H152" s="22" t="s">
        <v>202</v>
      </c>
      <c r="I152" s="8"/>
      <c r="J152" s="22" t="s">
        <v>1254</v>
      </c>
      <c r="K152" s="22" t="s">
        <v>1255</v>
      </c>
      <c r="L152" s="22" t="s">
        <v>1256</v>
      </c>
      <c r="M152" s="22" t="s">
        <v>265</v>
      </c>
      <c r="N152" s="22" t="s">
        <v>1257</v>
      </c>
      <c r="O152" s="22" t="s">
        <v>1258</v>
      </c>
      <c r="P152" s="22" t="s">
        <v>1261</v>
      </c>
      <c r="Q152" s="22" t="s">
        <v>1259</v>
      </c>
      <c r="R152" s="22" t="s">
        <v>1260</v>
      </c>
      <c r="S152" s="9"/>
      <c r="T152" s="9"/>
      <c r="U152" s="9"/>
      <c r="V152" s="9"/>
      <c r="W152" s="9" t="str">
        <f t="shared" si="8"/>
        <v>20260715</v>
      </c>
      <c r="X152" s="22" t="s">
        <v>1640</v>
      </c>
      <c r="Y152" s="23"/>
      <c r="Z152" s="22">
        <v>1</v>
      </c>
      <c r="AA152" s="22">
        <v>80000</v>
      </c>
      <c r="AB152" s="22">
        <v>80000</v>
      </c>
      <c r="AC152" s="22">
        <v>8000</v>
      </c>
      <c r="AD152" s="9"/>
      <c r="AE152" s="9" t="str">
        <f t="shared" si="9"/>
        <v/>
      </c>
      <c r="AF152" s="23"/>
      <c r="AG152" s="23"/>
      <c r="AH152" s="23"/>
      <c r="AI152" s="23"/>
      <c r="AJ152" s="23"/>
      <c r="AK152" s="23"/>
      <c r="AL152" s="9"/>
      <c r="AM152" s="9" t="str">
        <f t="shared" si="10"/>
        <v/>
      </c>
      <c r="AN152" s="23"/>
      <c r="AO152" s="23"/>
      <c r="AP152" s="23"/>
      <c r="AQ152" s="23"/>
      <c r="AR152" s="23"/>
      <c r="AS152" s="23"/>
      <c r="AT152" s="9"/>
      <c r="AU152" s="9" t="str">
        <f t="shared" si="11"/>
        <v/>
      </c>
      <c r="AV152" s="23"/>
      <c r="AW152" s="23"/>
      <c r="AX152" s="23"/>
      <c r="AY152" s="23"/>
      <c r="AZ152" s="23"/>
      <c r="BA152" s="23"/>
      <c r="BB152" s="9"/>
    </row>
    <row r="153" spans="1:54" ht="54" x14ac:dyDescent="0.3">
      <c r="A153" s="8" t="s">
        <v>65</v>
      </c>
      <c r="B153" s="9" t="s">
        <v>66</v>
      </c>
      <c r="C153" s="22" t="s">
        <v>1618</v>
      </c>
      <c r="D153" s="9">
        <v>20260715</v>
      </c>
      <c r="E153" s="22">
        <v>280500</v>
      </c>
      <c r="F153" s="22">
        <v>28050</v>
      </c>
      <c r="G153" s="9">
        <v>308550</v>
      </c>
      <c r="H153" s="22" t="s">
        <v>203</v>
      </c>
      <c r="I153" s="8"/>
      <c r="J153" s="22" t="s">
        <v>1262</v>
      </c>
      <c r="K153" s="22" t="s">
        <v>1263</v>
      </c>
      <c r="L153" s="22" t="s">
        <v>1264</v>
      </c>
      <c r="M153" s="22" t="s">
        <v>265</v>
      </c>
      <c r="N153" s="22" t="s">
        <v>1265</v>
      </c>
      <c r="O153" s="22" t="s">
        <v>291</v>
      </c>
      <c r="P153" s="22" t="s">
        <v>1267</v>
      </c>
      <c r="Q153" s="22" t="s">
        <v>1266</v>
      </c>
      <c r="R153" s="22" t="s">
        <v>292</v>
      </c>
      <c r="S153" s="9"/>
      <c r="T153" s="9"/>
      <c r="U153" s="9"/>
      <c r="V153" s="9"/>
      <c r="W153" s="9" t="str">
        <f t="shared" si="8"/>
        <v>20260715</v>
      </c>
      <c r="X153" s="22" t="s">
        <v>1670</v>
      </c>
      <c r="Y153" s="23"/>
      <c r="Z153" s="22">
        <v>1</v>
      </c>
      <c r="AA153" s="22">
        <v>180500</v>
      </c>
      <c r="AB153" s="22">
        <v>180500</v>
      </c>
      <c r="AC153" s="22">
        <v>18050</v>
      </c>
      <c r="AD153" s="9"/>
      <c r="AE153" s="9" t="str">
        <f t="shared" si="9"/>
        <v>20260715</v>
      </c>
      <c r="AF153" s="22" t="s">
        <v>1629</v>
      </c>
      <c r="AG153" s="23"/>
      <c r="AH153" s="22">
        <v>1</v>
      </c>
      <c r="AI153" s="22">
        <v>100000</v>
      </c>
      <c r="AJ153" s="22">
        <v>100000</v>
      </c>
      <c r="AK153" s="22">
        <v>10000</v>
      </c>
      <c r="AL153" s="9"/>
      <c r="AM153" s="9" t="str">
        <f t="shared" si="10"/>
        <v/>
      </c>
      <c r="AN153" s="23"/>
      <c r="AO153" s="23"/>
      <c r="AP153" s="23"/>
      <c r="AQ153" s="23"/>
      <c r="AR153" s="23"/>
      <c r="AS153" s="23"/>
      <c r="AT153" s="9"/>
      <c r="AU153" s="9" t="str">
        <f t="shared" si="11"/>
        <v/>
      </c>
      <c r="AV153" s="23"/>
      <c r="AW153" s="23"/>
      <c r="AX153" s="23"/>
      <c r="AY153" s="23"/>
      <c r="AZ153" s="23"/>
      <c r="BA153" s="23"/>
      <c r="BB153" s="9"/>
    </row>
    <row r="154" spans="1:54" ht="67.5" x14ac:dyDescent="0.3">
      <c r="A154" s="8" t="s">
        <v>65</v>
      </c>
      <c r="B154" s="9" t="s">
        <v>66</v>
      </c>
      <c r="C154" s="22" t="s">
        <v>1618</v>
      </c>
      <c r="D154" s="9">
        <v>20260715</v>
      </c>
      <c r="E154" s="22">
        <v>196000</v>
      </c>
      <c r="F154" s="22">
        <v>19600</v>
      </c>
      <c r="G154" s="9">
        <v>215600</v>
      </c>
      <c r="H154" s="22" t="s">
        <v>204</v>
      </c>
      <c r="I154" s="8"/>
      <c r="J154" s="22" t="s">
        <v>1268</v>
      </c>
      <c r="K154" s="22" t="s">
        <v>1269</v>
      </c>
      <c r="L154" s="22" t="s">
        <v>1270</v>
      </c>
      <c r="M154" s="22" t="s">
        <v>273</v>
      </c>
      <c r="N154" s="22" t="s">
        <v>1271</v>
      </c>
      <c r="O154" s="22" t="s">
        <v>1272</v>
      </c>
      <c r="P154" s="22" t="s">
        <v>1275</v>
      </c>
      <c r="Q154" s="22" t="s">
        <v>1273</v>
      </c>
      <c r="R154" s="22" t="s">
        <v>1274</v>
      </c>
      <c r="S154" s="9"/>
      <c r="T154" s="9"/>
      <c r="U154" s="9"/>
      <c r="V154" s="9"/>
      <c r="W154" s="9" t="str">
        <f t="shared" si="8"/>
        <v>20260715</v>
      </c>
      <c r="X154" s="22" t="s">
        <v>1655</v>
      </c>
      <c r="Y154" s="23"/>
      <c r="Z154" s="22">
        <v>1</v>
      </c>
      <c r="AA154" s="22">
        <v>196000</v>
      </c>
      <c r="AB154" s="22">
        <v>196000</v>
      </c>
      <c r="AC154" s="22">
        <v>19600</v>
      </c>
      <c r="AD154" s="9"/>
      <c r="AE154" s="9" t="str">
        <f t="shared" si="9"/>
        <v/>
      </c>
      <c r="AF154" s="23"/>
      <c r="AG154" s="23"/>
      <c r="AH154" s="23"/>
      <c r="AI154" s="23"/>
      <c r="AJ154" s="23"/>
      <c r="AK154" s="23"/>
      <c r="AL154" s="9"/>
      <c r="AM154" s="9" t="str">
        <f t="shared" si="10"/>
        <v/>
      </c>
      <c r="AN154" s="23"/>
      <c r="AO154" s="23"/>
      <c r="AP154" s="23"/>
      <c r="AQ154" s="23"/>
      <c r="AR154" s="23"/>
      <c r="AS154" s="23"/>
      <c r="AT154" s="9"/>
      <c r="AU154" s="9" t="str">
        <f t="shared" si="11"/>
        <v/>
      </c>
      <c r="AV154" s="23"/>
      <c r="AW154" s="23"/>
      <c r="AX154" s="23"/>
      <c r="AY154" s="23"/>
      <c r="AZ154" s="23"/>
      <c r="BA154" s="23"/>
      <c r="BB154" s="9"/>
    </row>
    <row r="155" spans="1:54" ht="67.5" x14ac:dyDescent="0.3">
      <c r="A155" s="8" t="s">
        <v>65</v>
      </c>
      <c r="B155" s="9" t="s">
        <v>66</v>
      </c>
      <c r="C155" s="22" t="s">
        <v>1618</v>
      </c>
      <c r="D155" s="9">
        <v>20260715</v>
      </c>
      <c r="E155" s="22">
        <v>88000</v>
      </c>
      <c r="F155" s="22">
        <v>8800</v>
      </c>
      <c r="G155" s="9">
        <v>96800</v>
      </c>
      <c r="H155" s="22" t="s">
        <v>205</v>
      </c>
      <c r="I155" s="8"/>
      <c r="J155" s="22" t="s">
        <v>1276</v>
      </c>
      <c r="K155" s="22" t="s">
        <v>635</v>
      </c>
      <c r="L155" s="22" t="s">
        <v>1277</v>
      </c>
      <c r="M155" s="22" t="s">
        <v>358</v>
      </c>
      <c r="N155" s="22" t="s">
        <v>1278</v>
      </c>
      <c r="O155" s="22" t="s">
        <v>841</v>
      </c>
      <c r="P155" s="22" t="s">
        <v>640</v>
      </c>
      <c r="Q155" s="22" t="s">
        <v>842</v>
      </c>
      <c r="R155" s="22" t="s">
        <v>639</v>
      </c>
      <c r="S155" s="9"/>
      <c r="T155" s="9"/>
      <c r="U155" s="9"/>
      <c r="V155" s="9"/>
      <c r="W155" s="9" t="str">
        <f t="shared" si="8"/>
        <v>20260715</v>
      </c>
      <c r="X155" s="22" t="s">
        <v>1654</v>
      </c>
      <c r="Y155" s="23"/>
      <c r="Z155" s="22">
        <v>1</v>
      </c>
      <c r="AA155" s="22">
        <v>88000</v>
      </c>
      <c r="AB155" s="22">
        <v>88000</v>
      </c>
      <c r="AC155" s="22">
        <v>8800</v>
      </c>
      <c r="AD155" s="9"/>
      <c r="AE155" s="9" t="str">
        <f t="shared" si="9"/>
        <v/>
      </c>
      <c r="AF155" s="23"/>
      <c r="AG155" s="23"/>
      <c r="AH155" s="23"/>
      <c r="AI155" s="23"/>
      <c r="AJ155" s="23"/>
      <c r="AK155" s="23"/>
      <c r="AL155" s="9"/>
      <c r="AM155" s="9" t="str">
        <f t="shared" si="10"/>
        <v/>
      </c>
      <c r="AN155" s="23"/>
      <c r="AO155" s="23"/>
      <c r="AP155" s="23"/>
      <c r="AQ155" s="23"/>
      <c r="AR155" s="23"/>
      <c r="AS155" s="23"/>
      <c r="AT155" s="9"/>
      <c r="AU155" s="9" t="str">
        <f t="shared" si="11"/>
        <v/>
      </c>
      <c r="AV155" s="23"/>
      <c r="AW155" s="23"/>
      <c r="AX155" s="23"/>
      <c r="AY155" s="23"/>
      <c r="AZ155" s="23"/>
      <c r="BA155" s="23"/>
      <c r="BB155" s="9"/>
    </row>
    <row r="156" spans="1:54" ht="67.5" x14ac:dyDescent="0.3">
      <c r="A156" s="8" t="s">
        <v>65</v>
      </c>
      <c r="B156" s="9" t="s">
        <v>66</v>
      </c>
      <c r="C156" s="22" t="s">
        <v>1618</v>
      </c>
      <c r="D156" s="9">
        <v>20260715</v>
      </c>
      <c r="E156" s="22">
        <v>570000</v>
      </c>
      <c r="F156" s="22">
        <v>57000</v>
      </c>
      <c r="G156" s="9">
        <v>627000</v>
      </c>
      <c r="H156" s="22" t="s">
        <v>206</v>
      </c>
      <c r="I156" s="8"/>
      <c r="J156" s="22" t="s">
        <v>1279</v>
      </c>
      <c r="K156" s="22" t="s">
        <v>1280</v>
      </c>
      <c r="L156" s="22" t="s">
        <v>1281</v>
      </c>
      <c r="M156" s="22" t="s">
        <v>1282</v>
      </c>
      <c r="N156" s="22" t="s">
        <v>1283</v>
      </c>
      <c r="O156" s="22" t="s">
        <v>1284</v>
      </c>
      <c r="P156" s="22" t="s">
        <v>1287</v>
      </c>
      <c r="Q156" s="22" t="s">
        <v>1285</v>
      </c>
      <c r="R156" s="22" t="s">
        <v>1286</v>
      </c>
      <c r="S156" s="9"/>
      <c r="T156" s="9"/>
      <c r="U156" s="9"/>
      <c r="V156" s="9"/>
      <c r="W156" s="9" t="str">
        <f t="shared" si="8"/>
        <v>20260715</v>
      </c>
      <c r="X156" s="22" t="s">
        <v>1630</v>
      </c>
      <c r="Y156" s="23"/>
      <c r="Z156" s="22">
        <v>1</v>
      </c>
      <c r="AA156" s="22">
        <v>70000</v>
      </c>
      <c r="AB156" s="22">
        <v>70000</v>
      </c>
      <c r="AC156" s="22">
        <v>7000</v>
      </c>
      <c r="AD156" s="9"/>
      <c r="AE156" s="9" t="str">
        <f t="shared" si="9"/>
        <v>20260715</v>
      </c>
      <c r="AF156" s="22" t="s">
        <v>1629</v>
      </c>
      <c r="AG156" s="23"/>
      <c r="AH156" s="22">
        <v>1</v>
      </c>
      <c r="AI156" s="22">
        <v>160000</v>
      </c>
      <c r="AJ156" s="22">
        <v>160000</v>
      </c>
      <c r="AK156" s="22">
        <v>16000</v>
      </c>
      <c r="AL156" s="9"/>
      <c r="AM156" s="9" t="str">
        <f t="shared" si="10"/>
        <v>20260715</v>
      </c>
      <c r="AN156" s="22" t="s">
        <v>1622</v>
      </c>
      <c r="AO156" s="23"/>
      <c r="AP156" s="22">
        <v>1</v>
      </c>
      <c r="AQ156" s="22">
        <v>150000</v>
      </c>
      <c r="AR156" s="22">
        <v>150000</v>
      </c>
      <c r="AS156" s="22">
        <v>15000</v>
      </c>
      <c r="AT156" s="9"/>
      <c r="AU156" s="9" t="str">
        <f t="shared" si="11"/>
        <v>20260715</v>
      </c>
      <c r="AV156" s="22" t="s">
        <v>1708</v>
      </c>
      <c r="AW156" s="23"/>
      <c r="AX156" s="22">
        <v>1</v>
      </c>
      <c r="AY156" s="22">
        <v>190000</v>
      </c>
      <c r="AZ156" s="22">
        <v>190000</v>
      </c>
      <c r="BA156" s="22">
        <v>19000</v>
      </c>
      <c r="BB156" s="9"/>
    </row>
    <row r="157" spans="1:54" ht="67.5" x14ac:dyDescent="0.3">
      <c r="A157" s="8" t="s">
        <v>65</v>
      </c>
      <c r="B157" s="9" t="s">
        <v>66</v>
      </c>
      <c r="C157" s="22" t="s">
        <v>1618</v>
      </c>
      <c r="D157" s="9">
        <v>20260715</v>
      </c>
      <c r="E157" s="22">
        <v>300000</v>
      </c>
      <c r="F157" s="22">
        <v>30000</v>
      </c>
      <c r="G157" s="9">
        <v>330000</v>
      </c>
      <c r="H157" s="22" t="s">
        <v>204</v>
      </c>
      <c r="I157" s="8"/>
      <c r="J157" s="22" t="s">
        <v>1268</v>
      </c>
      <c r="K157" s="22" t="s">
        <v>1269</v>
      </c>
      <c r="L157" s="22" t="s">
        <v>1270</v>
      </c>
      <c r="M157" s="22" t="s">
        <v>273</v>
      </c>
      <c r="N157" s="22" t="s">
        <v>1271</v>
      </c>
      <c r="O157" s="22" t="s">
        <v>1272</v>
      </c>
      <c r="P157" s="22" t="s">
        <v>1275</v>
      </c>
      <c r="Q157" s="22" t="s">
        <v>1273</v>
      </c>
      <c r="R157" s="22" t="s">
        <v>1274</v>
      </c>
      <c r="S157" s="9"/>
      <c r="T157" s="9"/>
      <c r="U157" s="9"/>
      <c r="V157" s="9"/>
      <c r="W157" s="9" t="str">
        <f t="shared" si="8"/>
        <v>20260715</v>
      </c>
      <c r="X157" s="22" t="s">
        <v>1621</v>
      </c>
      <c r="Y157" s="23"/>
      <c r="Z157" s="22">
        <v>1</v>
      </c>
      <c r="AA157" s="22">
        <v>300000</v>
      </c>
      <c r="AB157" s="22">
        <v>300000</v>
      </c>
      <c r="AC157" s="22">
        <v>30000</v>
      </c>
      <c r="AD157" s="9"/>
      <c r="AE157" s="9" t="str">
        <f t="shared" si="9"/>
        <v/>
      </c>
      <c r="AF157" s="23"/>
      <c r="AG157" s="23"/>
      <c r="AH157" s="23"/>
      <c r="AI157" s="23"/>
      <c r="AJ157" s="23"/>
      <c r="AK157" s="23"/>
      <c r="AL157" s="9"/>
      <c r="AM157" s="9" t="str">
        <f t="shared" si="10"/>
        <v/>
      </c>
      <c r="AN157" s="23"/>
      <c r="AO157" s="23"/>
      <c r="AP157" s="23"/>
      <c r="AQ157" s="23"/>
      <c r="AR157" s="23"/>
      <c r="AS157" s="23"/>
      <c r="AT157" s="9"/>
      <c r="AU157" s="9" t="str">
        <f t="shared" si="11"/>
        <v/>
      </c>
      <c r="AV157" s="23"/>
      <c r="AW157" s="23"/>
      <c r="AX157" s="23"/>
      <c r="AY157" s="23"/>
      <c r="AZ157" s="23"/>
      <c r="BA157" s="23"/>
      <c r="BB157" s="9"/>
    </row>
    <row r="158" spans="1:54" ht="67.5" x14ac:dyDescent="0.3">
      <c r="A158" s="8" t="s">
        <v>65</v>
      </c>
      <c r="B158" s="9" t="s">
        <v>66</v>
      </c>
      <c r="C158" s="22" t="s">
        <v>1618</v>
      </c>
      <c r="D158" s="9">
        <v>20260715</v>
      </c>
      <c r="E158" s="22">
        <v>800000</v>
      </c>
      <c r="F158" s="22">
        <v>80000</v>
      </c>
      <c r="G158" s="9">
        <v>880000</v>
      </c>
      <c r="H158" s="22" t="s">
        <v>207</v>
      </c>
      <c r="I158" s="8"/>
      <c r="J158" s="22" t="s">
        <v>1288</v>
      </c>
      <c r="K158" s="22" t="s">
        <v>1289</v>
      </c>
      <c r="L158" s="22" t="s">
        <v>1290</v>
      </c>
      <c r="M158" s="22" t="s">
        <v>1291</v>
      </c>
      <c r="N158" s="22" t="s">
        <v>1292</v>
      </c>
      <c r="O158" s="22" t="s">
        <v>1293</v>
      </c>
      <c r="P158" s="22" t="s">
        <v>1295</v>
      </c>
      <c r="Q158" s="22" t="s">
        <v>1294</v>
      </c>
      <c r="R158" s="22" t="s">
        <v>292</v>
      </c>
      <c r="S158" s="9"/>
      <c r="T158" s="9"/>
      <c r="U158" s="9"/>
      <c r="V158" s="9"/>
      <c r="W158" s="9" t="str">
        <f t="shared" si="8"/>
        <v>20260715</v>
      </c>
      <c r="X158" s="22" t="s">
        <v>1675</v>
      </c>
      <c r="Y158" s="23"/>
      <c r="Z158" s="22">
        <v>1</v>
      </c>
      <c r="AA158" s="22">
        <v>250000</v>
      </c>
      <c r="AB158" s="22">
        <v>250000</v>
      </c>
      <c r="AC158" s="22">
        <v>25000</v>
      </c>
      <c r="AD158" s="9"/>
      <c r="AE158" s="9" t="str">
        <f t="shared" si="9"/>
        <v>20260715</v>
      </c>
      <c r="AF158" s="22" t="s">
        <v>1688</v>
      </c>
      <c r="AG158" s="23"/>
      <c r="AH158" s="22">
        <v>1</v>
      </c>
      <c r="AI158" s="22">
        <v>350000</v>
      </c>
      <c r="AJ158" s="22">
        <v>350000</v>
      </c>
      <c r="AK158" s="22">
        <v>35000</v>
      </c>
      <c r="AL158" s="9"/>
      <c r="AM158" s="9" t="str">
        <f t="shared" si="10"/>
        <v>20260715</v>
      </c>
      <c r="AN158" s="22" t="s">
        <v>1634</v>
      </c>
      <c r="AO158" s="23"/>
      <c r="AP158" s="22">
        <v>1</v>
      </c>
      <c r="AQ158" s="22">
        <v>100000</v>
      </c>
      <c r="AR158" s="22">
        <v>100000</v>
      </c>
      <c r="AS158" s="22">
        <v>10000</v>
      </c>
      <c r="AT158" s="9"/>
      <c r="AU158" s="9" t="str">
        <f t="shared" si="11"/>
        <v>20260715</v>
      </c>
      <c r="AV158" s="22" t="s">
        <v>1626</v>
      </c>
      <c r="AW158" s="23"/>
      <c r="AX158" s="22">
        <v>1</v>
      </c>
      <c r="AY158" s="22">
        <v>100000</v>
      </c>
      <c r="AZ158" s="22">
        <v>100000</v>
      </c>
      <c r="BA158" s="22">
        <v>10000</v>
      </c>
      <c r="BB158" s="9"/>
    </row>
    <row r="159" spans="1:54" ht="67.5" x14ac:dyDescent="0.3">
      <c r="A159" s="8" t="s">
        <v>65</v>
      </c>
      <c r="B159" s="9" t="s">
        <v>66</v>
      </c>
      <c r="C159" s="22" t="s">
        <v>1618</v>
      </c>
      <c r="D159" s="9">
        <v>20260715</v>
      </c>
      <c r="E159" s="22">
        <v>316700</v>
      </c>
      <c r="F159" s="22">
        <v>31670</v>
      </c>
      <c r="G159" s="9">
        <v>348370</v>
      </c>
      <c r="H159" s="22" t="s">
        <v>208</v>
      </c>
      <c r="I159" s="8"/>
      <c r="J159" s="22" t="s">
        <v>1296</v>
      </c>
      <c r="K159" s="22" t="s">
        <v>1297</v>
      </c>
      <c r="L159" s="22" t="s">
        <v>1298</v>
      </c>
      <c r="M159" s="22" t="s">
        <v>273</v>
      </c>
      <c r="N159" s="22" t="s">
        <v>1299</v>
      </c>
      <c r="O159" s="22" t="s">
        <v>1300</v>
      </c>
      <c r="P159" s="22" t="s">
        <v>1303</v>
      </c>
      <c r="Q159" s="22" t="s">
        <v>1301</v>
      </c>
      <c r="R159" s="22" t="s">
        <v>1302</v>
      </c>
      <c r="S159" s="9"/>
      <c r="T159" s="9"/>
      <c r="U159" s="9"/>
      <c r="V159" s="9"/>
      <c r="W159" s="9" t="str">
        <f t="shared" si="8"/>
        <v>20260715</v>
      </c>
      <c r="X159" s="22" t="s">
        <v>1676</v>
      </c>
      <c r="Y159" s="23"/>
      <c r="Z159" s="22">
        <v>1</v>
      </c>
      <c r="AA159" s="22">
        <v>276200</v>
      </c>
      <c r="AB159" s="22">
        <v>276200</v>
      </c>
      <c r="AC159" s="22">
        <v>27620</v>
      </c>
      <c r="AD159" s="9"/>
      <c r="AE159" s="9" t="str">
        <f t="shared" si="9"/>
        <v>20260715</v>
      </c>
      <c r="AF159" s="22" t="s">
        <v>1698</v>
      </c>
      <c r="AG159" s="23"/>
      <c r="AH159" s="22">
        <v>1</v>
      </c>
      <c r="AI159" s="22">
        <v>40500</v>
      </c>
      <c r="AJ159" s="22">
        <v>40500</v>
      </c>
      <c r="AK159" s="22">
        <v>4050</v>
      </c>
      <c r="AL159" s="9"/>
      <c r="AM159" s="9" t="str">
        <f t="shared" si="10"/>
        <v/>
      </c>
      <c r="AN159" s="23"/>
      <c r="AO159" s="23"/>
      <c r="AP159" s="23"/>
      <c r="AQ159" s="23"/>
      <c r="AR159" s="23"/>
      <c r="AS159" s="23"/>
      <c r="AT159" s="9"/>
      <c r="AU159" s="9" t="str">
        <f t="shared" si="11"/>
        <v/>
      </c>
      <c r="AV159" s="23"/>
      <c r="AW159" s="23"/>
      <c r="AX159" s="23"/>
      <c r="AY159" s="23"/>
      <c r="AZ159" s="23"/>
      <c r="BA159" s="23"/>
      <c r="BB159" s="9"/>
    </row>
    <row r="160" spans="1:54" ht="94.5" x14ac:dyDescent="0.3">
      <c r="A160" s="8" t="s">
        <v>65</v>
      </c>
      <c r="B160" s="9" t="s">
        <v>66</v>
      </c>
      <c r="C160" s="22" t="s">
        <v>1618</v>
      </c>
      <c r="D160" s="9">
        <v>20260715</v>
      </c>
      <c r="E160" s="22">
        <v>120000</v>
      </c>
      <c r="F160" s="22">
        <v>12000</v>
      </c>
      <c r="G160" s="9">
        <v>132000</v>
      </c>
      <c r="H160" s="22" t="s">
        <v>209</v>
      </c>
      <c r="I160" s="8"/>
      <c r="J160" s="22" t="s">
        <v>1304</v>
      </c>
      <c r="K160" s="22" t="s">
        <v>1305</v>
      </c>
      <c r="L160" s="22" t="s">
        <v>1306</v>
      </c>
      <c r="M160" s="22" t="s">
        <v>1307</v>
      </c>
      <c r="N160" s="22" t="s">
        <v>1308</v>
      </c>
      <c r="O160" s="22" t="s">
        <v>1309</v>
      </c>
      <c r="P160" s="22" t="s">
        <v>1311</v>
      </c>
      <c r="Q160" s="22" t="s">
        <v>1310</v>
      </c>
      <c r="R160" s="22" t="s">
        <v>292</v>
      </c>
      <c r="S160" s="9"/>
      <c r="T160" s="9"/>
      <c r="U160" s="9"/>
      <c r="V160" s="9"/>
      <c r="W160" s="9" t="str">
        <f t="shared" si="8"/>
        <v>20260715</v>
      </c>
      <c r="X160" s="22" t="s">
        <v>1677</v>
      </c>
      <c r="Y160" s="23"/>
      <c r="Z160" s="22">
        <v>1</v>
      </c>
      <c r="AA160" s="22">
        <v>120000</v>
      </c>
      <c r="AB160" s="22">
        <v>120000</v>
      </c>
      <c r="AC160" s="22">
        <v>12000</v>
      </c>
      <c r="AD160" s="9"/>
      <c r="AE160" s="9" t="str">
        <f t="shared" si="9"/>
        <v/>
      </c>
      <c r="AF160" s="23"/>
      <c r="AG160" s="23"/>
      <c r="AH160" s="23"/>
      <c r="AI160" s="23"/>
      <c r="AJ160" s="23"/>
      <c r="AK160" s="23"/>
      <c r="AL160" s="9"/>
      <c r="AM160" s="9" t="str">
        <f t="shared" si="10"/>
        <v/>
      </c>
      <c r="AN160" s="23"/>
      <c r="AO160" s="23"/>
      <c r="AP160" s="23"/>
      <c r="AQ160" s="23"/>
      <c r="AR160" s="23"/>
      <c r="AS160" s="23"/>
      <c r="AT160" s="9"/>
      <c r="AU160" s="9" t="str">
        <f t="shared" si="11"/>
        <v/>
      </c>
      <c r="AV160" s="23"/>
      <c r="AW160" s="23"/>
      <c r="AX160" s="23"/>
      <c r="AY160" s="23"/>
      <c r="AZ160" s="23"/>
      <c r="BA160" s="23"/>
      <c r="BB160" s="9"/>
    </row>
    <row r="161" spans="1:54" ht="54" x14ac:dyDescent="0.3">
      <c r="A161" s="8" t="s">
        <v>65</v>
      </c>
      <c r="B161" s="9" t="s">
        <v>66</v>
      </c>
      <c r="C161" s="22" t="s">
        <v>1618</v>
      </c>
      <c r="D161" s="9">
        <v>20260715</v>
      </c>
      <c r="E161" s="22">
        <v>140000</v>
      </c>
      <c r="F161" s="22">
        <v>14000</v>
      </c>
      <c r="G161" s="9">
        <v>154000</v>
      </c>
      <c r="H161" s="22" t="s">
        <v>210</v>
      </c>
      <c r="I161" s="8"/>
      <c r="J161" s="22" t="s">
        <v>1312</v>
      </c>
      <c r="K161" s="22" t="s">
        <v>1313</v>
      </c>
      <c r="L161" s="22" t="s">
        <v>1314</v>
      </c>
      <c r="M161" s="22" t="s">
        <v>833</v>
      </c>
      <c r="N161" s="22" t="s">
        <v>1315</v>
      </c>
      <c r="O161" s="22" t="s">
        <v>1316</v>
      </c>
      <c r="P161" s="22" t="s">
        <v>1318</v>
      </c>
      <c r="Q161" s="22" t="s">
        <v>259</v>
      </c>
      <c r="R161" s="22" t="s">
        <v>1317</v>
      </c>
      <c r="S161" s="9"/>
      <c r="T161" s="9"/>
      <c r="U161" s="9"/>
      <c r="V161" s="9"/>
      <c r="W161" s="9" t="str">
        <f t="shared" si="8"/>
        <v>20260715</v>
      </c>
      <c r="X161" s="22" t="s">
        <v>1677</v>
      </c>
      <c r="Y161" s="23"/>
      <c r="Z161" s="22">
        <v>1</v>
      </c>
      <c r="AA161" s="22">
        <v>140000</v>
      </c>
      <c r="AB161" s="22">
        <v>140000</v>
      </c>
      <c r="AC161" s="22">
        <v>14000</v>
      </c>
      <c r="AD161" s="9"/>
      <c r="AE161" s="9" t="str">
        <f t="shared" si="9"/>
        <v/>
      </c>
      <c r="AF161" s="23"/>
      <c r="AG161" s="23"/>
      <c r="AH161" s="23"/>
      <c r="AI161" s="23"/>
      <c r="AJ161" s="23"/>
      <c r="AK161" s="23"/>
      <c r="AL161" s="9"/>
      <c r="AM161" s="9" t="str">
        <f t="shared" si="10"/>
        <v/>
      </c>
      <c r="AN161" s="23"/>
      <c r="AO161" s="23"/>
      <c r="AP161" s="23"/>
      <c r="AQ161" s="23"/>
      <c r="AR161" s="23"/>
      <c r="AS161" s="23"/>
      <c r="AT161" s="9"/>
      <c r="AU161" s="9" t="str">
        <f t="shared" si="11"/>
        <v/>
      </c>
      <c r="AV161" s="23"/>
      <c r="AW161" s="23"/>
      <c r="AX161" s="23"/>
      <c r="AY161" s="23"/>
      <c r="AZ161" s="23"/>
      <c r="BA161" s="23"/>
      <c r="BB161" s="9"/>
    </row>
    <row r="162" spans="1:54" ht="54" x14ac:dyDescent="0.3">
      <c r="A162" s="8" t="s">
        <v>65</v>
      </c>
      <c r="B162" s="9" t="s">
        <v>66</v>
      </c>
      <c r="C162" s="22" t="s">
        <v>1618</v>
      </c>
      <c r="D162" s="9">
        <v>20260715</v>
      </c>
      <c r="E162" s="22">
        <v>385000</v>
      </c>
      <c r="F162" s="22">
        <v>38500</v>
      </c>
      <c r="G162" s="9">
        <v>423500</v>
      </c>
      <c r="H162" s="22" t="s">
        <v>211</v>
      </c>
      <c r="I162" s="8"/>
      <c r="J162" s="22" t="s">
        <v>1319</v>
      </c>
      <c r="K162" s="22" t="s">
        <v>1320</v>
      </c>
      <c r="L162" s="22" t="s">
        <v>1321</v>
      </c>
      <c r="M162" s="22" t="s">
        <v>1322</v>
      </c>
      <c r="N162" s="22" t="s">
        <v>1323</v>
      </c>
      <c r="O162" s="22" t="s">
        <v>1324</v>
      </c>
      <c r="P162" s="22" t="s">
        <v>1326</v>
      </c>
      <c r="Q162" s="22" t="s">
        <v>259</v>
      </c>
      <c r="R162" s="22" t="s">
        <v>1325</v>
      </c>
      <c r="S162" s="9"/>
      <c r="T162" s="9"/>
      <c r="U162" s="9"/>
      <c r="V162" s="9"/>
      <c r="W162" s="9" t="str">
        <f t="shared" si="8"/>
        <v>20260715</v>
      </c>
      <c r="X162" s="22" t="s">
        <v>1653</v>
      </c>
      <c r="Y162" s="23"/>
      <c r="Z162" s="22">
        <v>1</v>
      </c>
      <c r="AA162" s="22">
        <v>340000</v>
      </c>
      <c r="AB162" s="22">
        <v>340000</v>
      </c>
      <c r="AC162" s="22">
        <v>34000</v>
      </c>
      <c r="AD162" s="9"/>
      <c r="AE162" s="9" t="str">
        <f t="shared" si="9"/>
        <v>20260715</v>
      </c>
      <c r="AF162" s="22" t="s">
        <v>1641</v>
      </c>
      <c r="AG162" s="23"/>
      <c r="AH162" s="22">
        <v>1</v>
      </c>
      <c r="AI162" s="22">
        <v>45000</v>
      </c>
      <c r="AJ162" s="22">
        <v>45000</v>
      </c>
      <c r="AK162" s="22">
        <v>4500</v>
      </c>
      <c r="AL162" s="9"/>
      <c r="AM162" s="9" t="str">
        <f t="shared" si="10"/>
        <v/>
      </c>
      <c r="AN162" s="23"/>
      <c r="AO162" s="23"/>
      <c r="AP162" s="23"/>
      <c r="AQ162" s="23"/>
      <c r="AR162" s="23"/>
      <c r="AS162" s="23"/>
      <c r="AT162" s="9"/>
      <c r="AU162" s="9" t="str">
        <f t="shared" si="11"/>
        <v/>
      </c>
      <c r="AV162" s="23"/>
      <c r="AW162" s="23"/>
      <c r="AX162" s="23"/>
      <c r="AY162" s="23"/>
      <c r="AZ162" s="23"/>
      <c r="BA162" s="23"/>
      <c r="BB162" s="9"/>
    </row>
    <row r="163" spans="1:54" ht="54" x14ac:dyDescent="0.3">
      <c r="A163" s="8" t="s">
        <v>65</v>
      </c>
      <c r="B163" s="9" t="s">
        <v>66</v>
      </c>
      <c r="C163" s="22" t="s">
        <v>1618</v>
      </c>
      <c r="D163" s="9">
        <v>20260715</v>
      </c>
      <c r="E163" s="22">
        <v>42000</v>
      </c>
      <c r="F163" s="22">
        <v>4200</v>
      </c>
      <c r="G163" s="9">
        <v>46200</v>
      </c>
      <c r="H163" s="22" t="s">
        <v>212</v>
      </c>
      <c r="I163" s="8"/>
      <c r="J163" s="22" t="s">
        <v>1327</v>
      </c>
      <c r="K163" s="22" t="s">
        <v>1328</v>
      </c>
      <c r="L163" s="22" t="s">
        <v>1329</v>
      </c>
      <c r="M163" s="22" t="s">
        <v>1330</v>
      </c>
      <c r="N163" s="22" t="s">
        <v>1331</v>
      </c>
      <c r="O163" s="22" t="s">
        <v>1332</v>
      </c>
      <c r="P163" s="22" t="s">
        <v>1335</v>
      </c>
      <c r="Q163" s="22" t="s">
        <v>1333</v>
      </c>
      <c r="R163" s="22" t="s">
        <v>1334</v>
      </c>
      <c r="S163" s="9"/>
      <c r="T163" s="9"/>
      <c r="U163" s="9"/>
      <c r="V163" s="9"/>
      <c r="W163" s="9" t="str">
        <f t="shared" si="8"/>
        <v>20260715</v>
      </c>
      <c r="X163" s="22" t="s">
        <v>1647</v>
      </c>
      <c r="Y163" s="23"/>
      <c r="Z163" s="22">
        <v>1</v>
      </c>
      <c r="AA163" s="22">
        <v>42000</v>
      </c>
      <c r="AB163" s="22">
        <v>42000</v>
      </c>
      <c r="AC163" s="22">
        <v>4200</v>
      </c>
      <c r="AD163" s="9"/>
      <c r="AE163" s="9" t="str">
        <f t="shared" si="9"/>
        <v/>
      </c>
      <c r="AF163" s="23"/>
      <c r="AG163" s="23"/>
      <c r="AH163" s="23"/>
      <c r="AI163" s="23"/>
      <c r="AJ163" s="23"/>
      <c r="AK163" s="23"/>
      <c r="AL163" s="9"/>
      <c r="AM163" s="9" t="str">
        <f t="shared" si="10"/>
        <v/>
      </c>
      <c r="AN163" s="23"/>
      <c r="AO163" s="23"/>
      <c r="AP163" s="23"/>
      <c r="AQ163" s="23"/>
      <c r="AR163" s="23"/>
      <c r="AS163" s="23"/>
      <c r="AT163" s="9"/>
      <c r="AU163" s="9" t="str">
        <f t="shared" si="11"/>
        <v/>
      </c>
      <c r="AV163" s="23"/>
      <c r="AW163" s="23"/>
      <c r="AX163" s="23"/>
      <c r="AY163" s="23"/>
      <c r="AZ163" s="23"/>
      <c r="BA163" s="23"/>
      <c r="BB163" s="9"/>
    </row>
    <row r="164" spans="1:54" ht="81" x14ac:dyDescent="0.3">
      <c r="A164" s="8" t="s">
        <v>65</v>
      </c>
      <c r="B164" s="9" t="s">
        <v>66</v>
      </c>
      <c r="C164" s="22" t="s">
        <v>1618</v>
      </c>
      <c r="D164" s="9">
        <v>20260715</v>
      </c>
      <c r="E164" s="22">
        <v>227273</v>
      </c>
      <c r="F164" s="22">
        <v>22727</v>
      </c>
      <c r="G164" s="9">
        <v>250000</v>
      </c>
      <c r="H164" s="22" t="s">
        <v>213</v>
      </c>
      <c r="I164" s="8"/>
      <c r="J164" s="22" t="s">
        <v>1336</v>
      </c>
      <c r="K164" s="22" t="s">
        <v>1337</v>
      </c>
      <c r="L164" s="22" t="s">
        <v>1338</v>
      </c>
      <c r="M164" s="22" t="s">
        <v>1339</v>
      </c>
      <c r="N164" s="22" t="s">
        <v>1340</v>
      </c>
      <c r="O164" s="22" t="s">
        <v>1341</v>
      </c>
      <c r="P164" s="22" t="s">
        <v>1343</v>
      </c>
      <c r="Q164" s="22" t="s">
        <v>1342</v>
      </c>
      <c r="R164" s="22" t="s">
        <v>292</v>
      </c>
      <c r="S164" s="9"/>
      <c r="T164" s="9"/>
      <c r="U164" s="9"/>
      <c r="V164" s="9"/>
      <c r="W164" s="9" t="str">
        <f t="shared" si="8"/>
        <v>20260715</v>
      </c>
      <c r="X164" s="22" t="s">
        <v>1656</v>
      </c>
      <c r="Y164" s="23"/>
      <c r="Z164" s="22">
        <v>1</v>
      </c>
      <c r="AA164" s="22">
        <v>227273</v>
      </c>
      <c r="AB164" s="22">
        <v>227273</v>
      </c>
      <c r="AC164" s="22">
        <v>22727</v>
      </c>
      <c r="AD164" s="9"/>
      <c r="AE164" s="9" t="str">
        <f t="shared" si="9"/>
        <v/>
      </c>
      <c r="AF164" s="23"/>
      <c r="AG164" s="23"/>
      <c r="AH164" s="23"/>
      <c r="AI164" s="23"/>
      <c r="AJ164" s="23"/>
      <c r="AK164" s="23"/>
      <c r="AL164" s="9"/>
      <c r="AM164" s="9" t="str">
        <f t="shared" si="10"/>
        <v/>
      </c>
      <c r="AN164" s="23"/>
      <c r="AO164" s="23"/>
      <c r="AP164" s="23"/>
      <c r="AQ164" s="23"/>
      <c r="AR164" s="23"/>
      <c r="AS164" s="23"/>
      <c r="AT164" s="9"/>
      <c r="AU164" s="9" t="str">
        <f t="shared" si="11"/>
        <v/>
      </c>
      <c r="AV164" s="23"/>
      <c r="AW164" s="23"/>
      <c r="AX164" s="23"/>
      <c r="AY164" s="23"/>
      <c r="AZ164" s="23"/>
      <c r="BA164" s="23"/>
      <c r="BB164" s="9"/>
    </row>
    <row r="165" spans="1:54" ht="40.5" x14ac:dyDescent="0.3">
      <c r="A165" s="8" t="s">
        <v>65</v>
      </c>
      <c r="B165" s="9" t="s">
        <v>66</v>
      </c>
      <c r="C165" s="22" t="s">
        <v>1618</v>
      </c>
      <c r="D165" s="9">
        <v>20260715</v>
      </c>
      <c r="E165" s="22">
        <v>120000</v>
      </c>
      <c r="F165" s="22">
        <v>12000</v>
      </c>
      <c r="G165" s="9">
        <v>132000</v>
      </c>
      <c r="H165" s="22" t="s">
        <v>214</v>
      </c>
      <c r="I165" s="8"/>
      <c r="J165" s="22" t="s">
        <v>1344</v>
      </c>
      <c r="K165" s="22" t="s">
        <v>1345</v>
      </c>
      <c r="L165" s="22" t="s">
        <v>1346</v>
      </c>
      <c r="M165" s="22" t="s">
        <v>678</v>
      </c>
      <c r="N165" s="22" t="s">
        <v>1347</v>
      </c>
      <c r="O165" s="22" t="s">
        <v>291</v>
      </c>
      <c r="P165" s="22" t="s">
        <v>1349</v>
      </c>
      <c r="Q165" s="22" t="s">
        <v>1348</v>
      </c>
      <c r="R165" s="22" t="s">
        <v>1348</v>
      </c>
      <c r="S165" s="9"/>
      <c r="T165" s="9"/>
      <c r="U165" s="9"/>
      <c r="V165" s="9"/>
      <c r="W165" s="9" t="str">
        <f t="shared" si="8"/>
        <v>20260715</v>
      </c>
      <c r="X165" s="22" t="s">
        <v>1626</v>
      </c>
      <c r="Y165" s="23"/>
      <c r="Z165" s="22">
        <v>1</v>
      </c>
      <c r="AA165" s="22">
        <v>120000</v>
      </c>
      <c r="AB165" s="22">
        <v>120000</v>
      </c>
      <c r="AC165" s="22">
        <v>12000</v>
      </c>
      <c r="AD165" s="9"/>
      <c r="AE165" s="9" t="str">
        <f t="shared" si="9"/>
        <v/>
      </c>
      <c r="AF165" s="23"/>
      <c r="AG165" s="23"/>
      <c r="AH165" s="23"/>
      <c r="AI165" s="23"/>
      <c r="AJ165" s="23"/>
      <c r="AK165" s="23"/>
      <c r="AL165" s="9"/>
      <c r="AM165" s="9" t="str">
        <f t="shared" si="10"/>
        <v/>
      </c>
      <c r="AN165" s="23"/>
      <c r="AO165" s="23"/>
      <c r="AP165" s="23"/>
      <c r="AQ165" s="23"/>
      <c r="AR165" s="23"/>
      <c r="AS165" s="23"/>
      <c r="AT165" s="9"/>
      <c r="AU165" s="9" t="str">
        <f t="shared" si="11"/>
        <v/>
      </c>
      <c r="AV165" s="23"/>
      <c r="AW165" s="23"/>
      <c r="AX165" s="23"/>
      <c r="AY165" s="23"/>
      <c r="AZ165" s="23"/>
      <c r="BA165" s="23"/>
      <c r="BB165" s="9"/>
    </row>
    <row r="166" spans="1:54" ht="67.5" x14ac:dyDescent="0.3">
      <c r="A166" s="8" t="s">
        <v>65</v>
      </c>
      <c r="B166" s="9" t="s">
        <v>66</v>
      </c>
      <c r="C166" s="22" t="s">
        <v>1618</v>
      </c>
      <c r="D166" s="9">
        <v>20260715</v>
      </c>
      <c r="E166" s="22">
        <v>324000</v>
      </c>
      <c r="F166" s="22">
        <v>32400</v>
      </c>
      <c r="G166" s="9">
        <v>356400</v>
      </c>
      <c r="H166" s="22" t="s">
        <v>215</v>
      </c>
      <c r="I166" s="8"/>
      <c r="J166" s="22" t="s">
        <v>1350</v>
      </c>
      <c r="K166" s="22" t="s">
        <v>1351</v>
      </c>
      <c r="L166" s="22" t="s">
        <v>1352</v>
      </c>
      <c r="M166" s="22" t="s">
        <v>833</v>
      </c>
      <c r="N166" s="22" t="s">
        <v>1353</v>
      </c>
      <c r="O166" s="22" t="s">
        <v>1354</v>
      </c>
      <c r="P166" s="22" t="s">
        <v>1357</v>
      </c>
      <c r="Q166" s="22" t="s">
        <v>1355</v>
      </c>
      <c r="R166" s="22" t="s">
        <v>1356</v>
      </c>
      <c r="S166" s="9"/>
      <c r="T166" s="9"/>
      <c r="U166" s="9"/>
      <c r="V166" s="9"/>
      <c r="W166" s="9" t="str">
        <f t="shared" si="8"/>
        <v>20260715</v>
      </c>
      <c r="X166" s="22" t="s">
        <v>1670</v>
      </c>
      <c r="Y166" s="23"/>
      <c r="Z166" s="22">
        <v>1</v>
      </c>
      <c r="AA166" s="22">
        <v>324000</v>
      </c>
      <c r="AB166" s="22">
        <v>324000</v>
      </c>
      <c r="AC166" s="22">
        <v>32400</v>
      </c>
      <c r="AD166" s="9"/>
      <c r="AE166" s="9" t="str">
        <f t="shared" si="9"/>
        <v/>
      </c>
      <c r="AF166" s="23"/>
      <c r="AG166" s="23"/>
      <c r="AH166" s="23"/>
      <c r="AI166" s="23"/>
      <c r="AJ166" s="23"/>
      <c r="AK166" s="23"/>
      <c r="AL166" s="9"/>
      <c r="AM166" s="9" t="str">
        <f t="shared" si="10"/>
        <v/>
      </c>
      <c r="AN166" s="23"/>
      <c r="AO166" s="23"/>
      <c r="AP166" s="23"/>
      <c r="AQ166" s="23"/>
      <c r="AR166" s="23"/>
      <c r="AS166" s="23"/>
      <c r="AT166" s="9"/>
      <c r="AU166" s="9" t="str">
        <f t="shared" si="11"/>
        <v/>
      </c>
      <c r="AV166" s="23"/>
      <c r="AW166" s="23"/>
      <c r="AX166" s="23"/>
      <c r="AY166" s="23"/>
      <c r="AZ166" s="23"/>
      <c r="BA166" s="23"/>
      <c r="BB166" s="9"/>
    </row>
    <row r="167" spans="1:54" ht="67.5" x14ac:dyDescent="0.3">
      <c r="A167" s="8" t="s">
        <v>65</v>
      </c>
      <c r="B167" s="9" t="s">
        <v>66</v>
      </c>
      <c r="C167" s="22" t="s">
        <v>1618</v>
      </c>
      <c r="D167" s="9">
        <v>20260715</v>
      </c>
      <c r="E167" s="22">
        <v>100000</v>
      </c>
      <c r="F167" s="22">
        <v>10000</v>
      </c>
      <c r="G167" s="9">
        <v>110000</v>
      </c>
      <c r="H167" s="22" t="s">
        <v>216</v>
      </c>
      <c r="I167" s="8"/>
      <c r="J167" s="22" t="s">
        <v>1358</v>
      </c>
      <c r="K167" s="22" t="s">
        <v>1359</v>
      </c>
      <c r="L167" s="22" t="s">
        <v>1360</v>
      </c>
      <c r="M167" s="22" t="s">
        <v>597</v>
      </c>
      <c r="N167" s="22" t="s">
        <v>1361</v>
      </c>
      <c r="O167" s="22" t="s">
        <v>1362</v>
      </c>
      <c r="P167" s="22" t="s">
        <v>1363</v>
      </c>
      <c r="Q167" s="22" t="s">
        <v>292</v>
      </c>
      <c r="R167" s="22" t="s">
        <v>292</v>
      </c>
      <c r="S167" s="9"/>
      <c r="T167" s="9"/>
      <c r="U167" s="9"/>
      <c r="V167" s="9"/>
      <c r="W167" s="9" t="str">
        <f t="shared" si="8"/>
        <v>20260715</v>
      </c>
      <c r="X167" s="22" t="s">
        <v>1626</v>
      </c>
      <c r="Y167" s="23"/>
      <c r="Z167" s="22">
        <v>1</v>
      </c>
      <c r="AA167" s="22">
        <v>100000</v>
      </c>
      <c r="AB167" s="22">
        <v>100000</v>
      </c>
      <c r="AC167" s="22">
        <v>10000</v>
      </c>
      <c r="AD167" s="9"/>
      <c r="AE167" s="9" t="str">
        <f t="shared" si="9"/>
        <v/>
      </c>
      <c r="AF167" s="23"/>
      <c r="AG167" s="23"/>
      <c r="AH167" s="23"/>
      <c r="AI167" s="23"/>
      <c r="AJ167" s="23"/>
      <c r="AK167" s="23"/>
      <c r="AL167" s="9"/>
      <c r="AM167" s="9" t="str">
        <f t="shared" si="10"/>
        <v/>
      </c>
      <c r="AN167" s="23"/>
      <c r="AO167" s="23"/>
      <c r="AP167" s="23"/>
      <c r="AQ167" s="23"/>
      <c r="AR167" s="23"/>
      <c r="AS167" s="23"/>
      <c r="AT167" s="9"/>
      <c r="AU167" s="9" t="str">
        <f t="shared" si="11"/>
        <v/>
      </c>
      <c r="AV167" s="23"/>
      <c r="AW167" s="23"/>
      <c r="AX167" s="23"/>
      <c r="AY167" s="23"/>
      <c r="AZ167" s="23"/>
      <c r="BA167" s="23"/>
      <c r="BB167" s="9"/>
    </row>
    <row r="168" spans="1:54" ht="67.5" x14ac:dyDescent="0.3">
      <c r="A168" s="8" t="s">
        <v>65</v>
      </c>
      <c r="B168" s="9" t="s">
        <v>66</v>
      </c>
      <c r="C168" s="22" t="s">
        <v>1618</v>
      </c>
      <c r="D168" s="9">
        <v>20260715</v>
      </c>
      <c r="E168" s="22">
        <v>170000</v>
      </c>
      <c r="F168" s="22">
        <v>17000</v>
      </c>
      <c r="G168" s="9">
        <v>187000</v>
      </c>
      <c r="H168" s="22" t="s">
        <v>217</v>
      </c>
      <c r="I168" s="8"/>
      <c r="J168" s="22" t="s">
        <v>1364</v>
      </c>
      <c r="K168" s="22" t="s">
        <v>413</v>
      </c>
      <c r="L168" s="22" t="s">
        <v>1365</v>
      </c>
      <c r="M168" s="22" t="s">
        <v>273</v>
      </c>
      <c r="N168" s="22" t="s">
        <v>1366</v>
      </c>
      <c r="O168" s="22" t="s">
        <v>417</v>
      </c>
      <c r="P168" s="22" t="s">
        <v>420</v>
      </c>
      <c r="Q168" s="22" t="s">
        <v>1367</v>
      </c>
      <c r="R168" s="22" t="s">
        <v>419</v>
      </c>
      <c r="S168" s="9"/>
      <c r="T168" s="9"/>
      <c r="U168" s="9"/>
      <c r="V168" s="9"/>
      <c r="W168" s="9" t="str">
        <f t="shared" si="8"/>
        <v>20260715</v>
      </c>
      <c r="X168" s="22" t="s">
        <v>1646</v>
      </c>
      <c r="Y168" s="23"/>
      <c r="Z168" s="22">
        <v>1</v>
      </c>
      <c r="AA168" s="22">
        <v>170000</v>
      </c>
      <c r="AB168" s="22">
        <v>170000</v>
      </c>
      <c r="AC168" s="22">
        <v>17000</v>
      </c>
      <c r="AD168" s="9"/>
      <c r="AE168" s="9" t="str">
        <f t="shared" si="9"/>
        <v/>
      </c>
      <c r="AF168" s="23"/>
      <c r="AG168" s="23"/>
      <c r="AH168" s="23"/>
      <c r="AI168" s="23"/>
      <c r="AJ168" s="23"/>
      <c r="AK168" s="23"/>
      <c r="AL168" s="9"/>
      <c r="AM168" s="9" t="str">
        <f t="shared" si="10"/>
        <v/>
      </c>
      <c r="AN168" s="23"/>
      <c r="AO168" s="23"/>
      <c r="AP168" s="23"/>
      <c r="AQ168" s="23"/>
      <c r="AR168" s="23"/>
      <c r="AS168" s="23"/>
      <c r="AT168" s="9"/>
      <c r="AU168" s="9" t="str">
        <f t="shared" si="11"/>
        <v/>
      </c>
      <c r="AV168" s="23"/>
      <c r="AW168" s="23"/>
      <c r="AX168" s="23"/>
      <c r="AY168" s="23"/>
      <c r="AZ168" s="23"/>
      <c r="BA168" s="23"/>
      <c r="BB168" s="9"/>
    </row>
    <row r="169" spans="1:54" ht="67.5" x14ac:dyDescent="0.3">
      <c r="A169" s="8" t="s">
        <v>65</v>
      </c>
      <c r="B169" s="9" t="s">
        <v>66</v>
      </c>
      <c r="C169" s="22" t="s">
        <v>1618</v>
      </c>
      <c r="D169" s="9">
        <v>20260715</v>
      </c>
      <c r="E169" s="22">
        <v>140000</v>
      </c>
      <c r="F169" s="22">
        <v>14000</v>
      </c>
      <c r="G169" s="9">
        <v>154000</v>
      </c>
      <c r="H169" s="22" t="s">
        <v>218</v>
      </c>
      <c r="I169" s="8"/>
      <c r="J169" s="22" t="s">
        <v>1368</v>
      </c>
      <c r="K169" s="22" t="s">
        <v>1369</v>
      </c>
      <c r="L169" s="22" t="s">
        <v>1370</v>
      </c>
      <c r="M169" s="22" t="s">
        <v>612</v>
      </c>
      <c r="N169" s="22" t="s">
        <v>1371</v>
      </c>
      <c r="O169" s="22" t="s">
        <v>1369</v>
      </c>
      <c r="P169" s="22" t="s">
        <v>1373</v>
      </c>
      <c r="Q169" s="22" t="s">
        <v>322</v>
      </c>
      <c r="R169" s="22" t="s">
        <v>1372</v>
      </c>
      <c r="S169" s="9"/>
      <c r="T169" s="9"/>
      <c r="U169" s="9"/>
      <c r="V169" s="9"/>
      <c r="W169" s="9" t="str">
        <f t="shared" si="8"/>
        <v>20260715</v>
      </c>
      <c r="X169" s="22" t="s">
        <v>1626</v>
      </c>
      <c r="Y169" s="23"/>
      <c r="Z169" s="22">
        <v>1</v>
      </c>
      <c r="AA169" s="22">
        <v>140000</v>
      </c>
      <c r="AB169" s="22">
        <v>140000</v>
      </c>
      <c r="AC169" s="22">
        <v>14000</v>
      </c>
      <c r="AD169" s="9"/>
      <c r="AE169" s="9" t="str">
        <f t="shared" si="9"/>
        <v/>
      </c>
      <c r="AF169" s="23"/>
      <c r="AG169" s="23"/>
      <c r="AH169" s="23"/>
      <c r="AI169" s="23"/>
      <c r="AJ169" s="23"/>
      <c r="AK169" s="23"/>
      <c r="AL169" s="9"/>
      <c r="AM169" s="9" t="str">
        <f t="shared" si="10"/>
        <v/>
      </c>
      <c r="AN169" s="23"/>
      <c r="AO169" s="23"/>
      <c r="AP169" s="23"/>
      <c r="AQ169" s="23"/>
      <c r="AR169" s="23"/>
      <c r="AS169" s="23"/>
      <c r="AT169" s="9"/>
      <c r="AU169" s="9" t="str">
        <f t="shared" si="11"/>
        <v/>
      </c>
      <c r="AV169" s="23"/>
      <c r="AW169" s="23"/>
      <c r="AX169" s="23"/>
      <c r="AY169" s="23"/>
      <c r="AZ169" s="23"/>
      <c r="BA169" s="23"/>
      <c r="BB169" s="9"/>
    </row>
    <row r="170" spans="1:54" ht="54" x14ac:dyDescent="0.3">
      <c r="A170" s="8" t="s">
        <v>65</v>
      </c>
      <c r="B170" s="9" t="s">
        <v>66</v>
      </c>
      <c r="C170" s="22" t="s">
        <v>1618</v>
      </c>
      <c r="D170" s="9">
        <v>20260715</v>
      </c>
      <c r="E170" s="22">
        <v>59500</v>
      </c>
      <c r="F170" s="22">
        <v>5950</v>
      </c>
      <c r="G170" s="9">
        <v>65450</v>
      </c>
      <c r="H170" s="22" t="s">
        <v>219</v>
      </c>
      <c r="I170" s="8"/>
      <c r="J170" s="22" t="s">
        <v>1374</v>
      </c>
      <c r="K170" s="22" t="s">
        <v>1375</v>
      </c>
      <c r="L170" s="22" t="s">
        <v>1376</v>
      </c>
      <c r="M170" s="22" t="s">
        <v>1377</v>
      </c>
      <c r="N170" s="22" t="s">
        <v>1378</v>
      </c>
      <c r="O170" s="22" t="s">
        <v>1379</v>
      </c>
      <c r="P170" s="22" t="s">
        <v>1382</v>
      </c>
      <c r="Q170" s="22" t="s">
        <v>1380</v>
      </c>
      <c r="R170" s="22" t="s">
        <v>1381</v>
      </c>
      <c r="S170" s="9"/>
      <c r="T170" s="9"/>
      <c r="U170" s="9"/>
      <c r="V170" s="9"/>
      <c r="W170" s="9" t="str">
        <f t="shared" si="8"/>
        <v>20260715</v>
      </c>
      <c r="X170" s="22" t="s">
        <v>1677</v>
      </c>
      <c r="Y170" s="23"/>
      <c r="Z170" s="22">
        <v>1</v>
      </c>
      <c r="AA170" s="22">
        <v>59500</v>
      </c>
      <c r="AB170" s="22">
        <v>59500</v>
      </c>
      <c r="AC170" s="22">
        <v>5950</v>
      </c>
      <c r="AD170" s="9"/>
      <c r="AE170" s="9" t="str">
        <f t="shared" si="9"/>
        <v/>
      </c>
      <c r="AF170" s="23"/>
      <c r="AG170" s="23"/>
      <c r="AH170" s="23"/>
      <c r="AI170" s="23"/>
      <c r="AJ170" s="23"/>
      <c r="AK170" s="23"/>
      <c r="AL170" s="9"/>
      <c r="AM170" s="9" t="str">
        <f t="shared" si="10"/>
        <v/>
      </c>
      <c r="AN170" s="23"/>
      <c r="AO170" s="23"/>
      <c r="AP170" s="23"/>
      <c r="AQ170" s="23"/>
      <c r="AR170" s="23"/>
      <c r="AS170" s="23"/>
      <c r="AT170" s="9"/>
      <c r="AU170" s="9" t="str">
        <f t="shared" si="11"/>
        <v/>
      </c>
      <c r="AV170" s="23"/>
      <c r="AW170" s="23"/>
      <c r="AX170" s="23"/>
      <c r="AY170" s="23"/>
      <c r="AZ170" s="23"/>
      <c r="BA170" s="23"/>
      <c r="BB170" s="9"/>
    </row>
    <row r="171" spans="1:54" ht="67.5" x14ac:dyDescent="0.3">
      <c r="A171" s="8" t="s">
        <v>65</v>
      </c>
      <c r="B171" s="9" t="s">
        <v>66</v>
      </c>
      <c r="C171" s="22" t="s">
        <v>1618</v>
      </c>
      <c r="D171" s="9">
        <v>20260715</v>
      </c>
      <c r="E171" s="22">
        <v>1654000</v>
      </c>
      <c r="F171" s="22">
        <v>165400</v>
      </c>
      <c r="G171" s="9">
        <v>1819400</v>
      </c>
      <c r="H171" s="22" t="s">
        <v>220</v>
      </c>
      <c r="I171" s="8"/>
      <c r="J171" s="22" t="s">
        <v>1383</v>
      </c>
      <c r="K171" s="22" t="s">
        <v>1384</v>
      </c>
      <c r="L171" s="22" t="s">
        <v>1385</v>
      </c>
      <c r="M171" s="22" t="s">
        <v>612</v>
      </c>
      <c r="N171" s="22" t="s">
        <v>1386</v>
      </c>
      <c r="O171" s="22" t="s">
        <v>1384</v>
      </c>
      <c r="P171" s="22" t="s">
        <v>1389</v>
      </c>
      <c r="Q171" s="22" t="s">
        <v>1387</v>
      </c>
      <c r="R171" s="22" t="s">
        <v>1388</v>
      </c>
      <c r="S171" s="9"/>
      <c r="T171" s="9"/>
      <c r="U171" s="9"/>
      <c r="V171" s="9"/>
      <c r="W171" s="9" t="str">
        <f t="shared" si="8"/>
        <v>20260715</v>
      </c>
      <c r="X171" s="22" t="s">
        <v>1644</v>
      </c>
      <c r="Y171" s="23"/>
      <c r="Z171" s="22">
        <v>1</v>
      </c>
      <c r="AA171" s="22">
        <v>900000</v>
      </c>
      <c r="AB171" s="22">
        <v>900000</v>
      </c>
      <c r="AC171" s="22">
        <v>90000</v>
      </c>
      <c r="AD171" s="9"/>
      <c r="AE171" s="9" t="str">
        <f t="shared" si="9"/>
        <v>20260715</v>
      </c>
      <c r="AF171" s="22" t="s">
        <v>1699</v>
      </c>
      <c r="AG171" s="23"/>
      <c r="AH171" s="22">
        <v>1</v>
      </c>
      <c r="AI171" s="22">
        <v>230000</v>
      </c>
      <c r="AJ171" s="22">
        <v>230000</v>
      </c>
      <c r="AK171" s="22">
        <v>23000</v>
      </c>
      <c r="AL171" s="9"/>
      <c r="AM171" s="9" t="str">
        <f t="shared" si="10"/>
        <v>20260715</v>
      </c>
      <c r="AN171" s="22" t="s">
        <v>1706</v>
      </c>
      <c r="AO171" s="23"/>
      <c r="AP171" s="22">
        <v>1</v>
      </c>
      <c r="AQ171" s="22">
        <v>460000</v>
      </c>
      <c r="AR171" s="22">
        <v>460000</v>
      </c>
      <c r="AS171" s="22">
        <v>46000</v>
      </c>
      <c r="AT171" s="9"/>
      <c r="AU171" s="9" t="str">
        <f t="shared" si="11"/>
        <v>20260715</v>
      </c>
      <c r="AV171" s="22" t="s">
        <v>1696</v>
      </c>
      <c r="AW171" s="23"/>
      <c r="AX171" s="22">
        <v>1</v>
      </c>
      <c r="AY171" s="22">
        <v>64000</v>
      </c>
      <c r="AZ171" s="22">
        <v>64000</v>
      </c>
      <c r="BA171" s="22">
        <v>6400</v>
      </c>
      <c r="BB171" s="9"/>
    </row>
    <row r="172" spans="1:54" ht="81" x14ac:dyDescent="0.3">
      <c r="A172" s="8" t="s">
        <v>65</v>
      </c>
      <c r="B172" s="9" t="s">
        <v>66</v>
      </c>
      <c r="C172" s="22" t="s">
        <v>1618</v>
      </c>
      <c r="D172" s="9">
        <v>20260715</v>
      </c>
      <c r="E172" s="22">
        <v>450000</v>
      </c>
      <c r="F172" s="22">
        <v>45000</v>
      </c>
      <c r="G172" s="9">
        <v>495000</v>
      </c>
      <c r="H172" s="22" t="s">
        <v>221</v>
      </c>
      <c r="I172" s="8"/>
      <c r="J172" s="22" t="s">
        <v>1390</v>
      </c>
      <c r="K172" s="22" t="s">
        <v>1391</v>
      </c>
      <c r="L172" s="22" t="s">
        <v>1392</v>
      </c>
      <c r="M172" s="22" t="s">
        <v>900</v>
      </c>
      <c r="N172" s="22" t="s">
        <v>604</v>
      </c>
      <c r="O172" s="22" t="s">
        <v>1393</v>
      </c>
      <c r="P172" s="22" t="s">
        <v>1395</v>
      </c>
      <c r="Q172" s="22" t="s">
        <v>1394</v>
      </c>
      <c r="R172" s="22" t="s">
        <v>292</v>
      </c>
      <c r="S172" s="9"/>
      <c r="T172" s="9"/>
      <c r="U172" s="9"/>
      <c r="V172" s="9"/>
      <c r="W172" s="9" t="str">
        <f t="shared" si="8"/>
        <v>20260715</v>
      </c>
      <c r="X172" s="22" t="s">
        <v>1633</v>
      </c>
      <c r="Y172" s="23"/>
      <c r="Z172" s="22">
        <v>1</v>
      </c>
      <c r="AA172" s="22">
        <v>450000</v>
      </c>
      <c r="AB172" s="22">
        <v>450000</v>
      </c>
      <c r="AC172" s="22">
        <v>45000</v>
      </c>
      <c r="AD172" s="9"/>
      <c r="AE172" s="9" t="str">
        <f t="shared" si="9"/>
        <v/>
      </c>
      <c r="AF172" s="23"/>
      <c r="AG172" s="23"/>
      <c r="AH172" s="23"/>
      <c r="AI172" s="23"/>
      <c r="AJ172" s="23"/>
      <c r="AK172" s="23"/>
      <c r="AL172" s="9"/>
      <c r="AM172" s="9" t="str">
        <f t="shared" si="10"/>
        <v/>
      </c>
      <c r="AN172" s="23"/>
      <c r="AO172" s="23"/>
      <c r="AP172" s="23"/>
      <c r="AQ172" s="23"/>
      <c r="AR172" s="23"/>
      <c r="AS172" s="23"/>
      <c r="AT172" s="9"/>
      <c r="AU172" s="9" t="str">
        <f t="shared" si="11"/>
        <v/>
      </c>
      <c r="AV172" s="23"/>
      <c r="AW172" s="23"/>
      <c r="AX172" s="23"/>
      <c r="AY172" s="23"/>
      <c r="AZ172" s="23"/>
      <c r="BA172" s="23"/>
      <c r="BB172" s="9"/>
    </row>
    <row r="173" spans="1:54" ht="54" x14ac:dyDescent="0.3">
      <c r="A173" s="8" t="s">
        <v>65</v>
      </c>
      <c r="B173" s="9" t="s">
        <v>66</v>
      </c>
      <c r="C173" s="22" t="s">
        <v>1618</v>
      </c>
      <c r="D173" s="9">
        <v>20260715</v>
      </c>
      <c r="E173" s="22">
        <v>170000</v>
      </c>
      <c r="F173" s="22">
        <v>17000</v>
      </c>
      <c r="G173" s="9">
        <v>187000</v>
      </c>
      <c r="H173" s="22" t="s">
        <v>222</v>
      </c>
      <c r="I173" s="8"/>
      <c r="J173" s="22" t="s">
        <v>1396</v>
      </c>
      <c r="K173" s="22" t="s">
        <v>413</v>
      </c>
      <c r="L173" s="22" t="s">
        <v>1397</v>
      </c>
      <c r="M173" s="22" t="s">
        <v>273</v>
      </c>
      <c r="N173" s="22" t="s">
        <v>986</v>
      </c>
      <c r="O173" s="22" t="s">
        <v>417</v>
      </c>
      <c r="P173" s="22" t="s">
        <v>420</v>
      </c>
      <c r="Q173" s="22" t="s">
        <v>418</v>
      </c>
      <c r="R173" s="22" t="s">
        <v>292</v>
      </c>
      <c r="S173" s="9"/>
      <c r="T173" s="9"/>
      <c r="U173" s="9"/>
      <c r="V173" s="9"/>
      <c r="W173" s="9" t="str">
        <f t="shared" si="8"/>
        <v>20260715</v>
      </c>
      <c r="X173" s="22" t="s">
        <v>1637</v>
      </c>
      <c r="Y173" s="23"/>
      <c r="Z173" s="22">
        <v>1</v>
      </c>
      <c r="AA173" s="22">
        <v>170000</v>
      </c>
      <c r="AB173" s="22">
        <v>170000</v>
      </c>
      <c r="AC173" s="22">
        <v>17000</v>
      </c>
      <c r="AD173" s="9"/>
      <c r="AE173" s="9" t="str">
        <f t="shared" si="9"/>
        <v/>
      </c>
      <c r="AF173" s="23"/>
      <c r="AG173" s="23"/>
      <c r="AH173" s="23"/>
      <c r="AI173" s="23"/>
      <c r="AJ173" s="23"/>
      <c r="AK173" s="23"/>
      <c r="AL173" s="9"/>
      <c r="AM173" s="9" t="str">
        <f t="shared" si="10"/>
        <v/>
      </c>
      <c r="AN173" s="23"/>
      <c r="AO173" s="23"/>
      <c r="AP173" s="23"/>
      <c r="AQ173" s="23"/>
      <c r="AR173" s="23"/>
      <c r="AS173" s="23"/>
      <c r="AT173" s="9"/>
      <c r="AU173" s="9" t="str">
        <f t="shared" si="11"/>
        <v/>
      </c>
      <c r="AV173" s="23"/>
      <c r="AW173" s="23"/>
      <c r="AX173" s="23"/>
      <c r="AY173" s="23"/>
      <c r="AZ173" s="23"/>
      <c r="BA173" s="23"/>
      <c r="BB173" s="9"/>
    </row>
    <row r="174" spans="1:54" ht="81" x14ac:dyDescent="0.3">
      <c r="A174" s="8" t="s">
        <v>65</v>
      </c>
      <c r="B174" s="9" t="s">
        <v>66</v>
      </c>
      <c r="C174" s="22" t="s">
        <v>1618</v>
      </c>
      <c r="D174" s="9">
        <v>20260715</v>
      </c>
      <c r="E174" s="22">
        <v>35000</v>
      </c>
      <c r="F174" s="22">
        <v>3500</v>
      </c>
      <c r="G174" s="9">
        <v>38500</v>
      </c>
      <c r="H174" s="22" t="s">
        <v>223</v>
      </c>
      <c r="I174" s="8"/>
      <c r="J174" s="22" t="s">
        <v>1398</v>
      </c>
      <c r="K174" s="22" t="s">
        <v>1399</v>
      </c>
      <c r="L174" s="22" t="s">
        <v>1400</v>
      </c>
      <c r="M174" s="22" t="s">
        <v>273</v>
      </c>
      <c r="N174" s="22" t="s">
        <v>1401</v>
      </c>
      <c r="O174" s="22" t="s">
        <v>1402</v>
      </c>
      <c r="P174" s="22" t="s">
        <v>1405</v>
      </c>
      <c r="Q174" s="22" t="s">
        <v>1403</v>
      </c>
      <c r="R174" s="22" t="s">
        <v>1404</v>
      </c>
      <c r="S174" s="9"/>
      <c r="T174" s="9"/>
      <c r="U174" s="9"/>
      <c r="V174" s="9"/>
      <c r="W174" s="9" t="str">
        <f t="shared" si="8"/>
        <v>20260715</v>
      </c>
      <c r="X174" s="22" t="s">
        <v>1655</v>
      </c>
      <c r="Y174" s="23"/>
      <c r="Z174" s="22">
        <v>1</v>
      </c>
      <c r="AA174" s="22">
        <v>35000</v>
      </c>
      <c r="AB174" s="22">
        <v>35000</v>
      </c>
      <c r="AC174" s="22">
        <v>3500</v>
      </c>
      <c r="AD174" s="9"/>
      <c r="AE174" s="9" t="str">
        <f t="shared" si="9"/>
        <v/>
      </c>
      <c r="AF174" s="23"/>
      <c r="AG174" s="23"/>
      <c r="AH174" s="23"/>
      <c r="AI174" s="23"/>
      <c r="AJ174" s="23"/>
      <c r="AK174" s="23"/>
      <c r="AL174" s="9"/>
      <c r="AM174" s="9" t="str">
        <f t="shared" si="10"/>
        <v/>
      </c>
      <c r="AN174" s="23"/>
      <c r="AO174" s="23"/>
      <c r="AP174" s="23"/>
      <c r="AQ174" s="23"/>
      <c r="AR174" s="23"/>
      <c r="AS174" s="23"/>
      <c r="AT174" s="9"/>
      <c r="AU174" s="9" t="str">
        <f t="shared" si="11"/>
        <v/>
      </c>
      <c r="AV174" s="23"/>
      <c r="AW174" s="23"/>
      <c r="AX174" s="23"/>
      <c r="AY174" s="23"/>
      <c r="AZ174" s="23"/>
      <c r="BA174" s="23"/>
      <c r="BB174" s="9"/>
    </row>
    <row r="175" spans="1:54" ht="40.5" x14ac:dyDescent="0.3">
      <c r="A175" s="8" t="s">
        <v>65</v>
      </c>
      <c r="B175" s="9" t="s">
        <v>66</v>
      </c>
      <c r="C175" s="22" t="s">
        <v>1618</v>
      </c>
      <c r="D175" s="9">
        <v>20260715</v>
      </c>
      <c r="E175" s="22">
        <v>324225</v>
      </c>
      <c r="F175" s="22">
        <v>32422</v>
      </c>
      <c r="G175" s="9">
        <v>356647</v>
      </c>
      <c r="H175" s="22" t="s">
        <v>224</v>
      </c>
      <c r="I175" s="8"/>
      <c r="J175" s="22" t="s">
        <v>1406</v>
      </c>
      <c r="K175" s="22" t="s">
        <v>1407</v>
      </c>
      <c r="L175" s="22" t="s">
        <v>1408</v>
      </c>
      <c r="M175" s="22" t="s">
        <v>273</v>
      </c>
      <c r="N175" s="22" t="s">
        <v>1409</v>
      </c>
      <c r="O175" s="22" t="s">
        <v>1410</v>
      </c>
      <c r="P175" s="22" t="s">
        <v>1413</v>
      </c>
      <c r="Q175" s="22" t="s">
        <v>1411</v>
      </c>
      <c r="R175" s="22" t="s">
        <v>1412</v>
      </c>
      <c r="S175" s="9"/>
      <c r="T175" s="9"/>
      <c r="U175" s="9"/>
      <c r="V175" s="9"/>
      <c r="W175" s="9" t="str">
        <f t="shared" si="8"/>
        <v>20260715</v>
      </c>
      <c r="X175" s="22" t="s">
        <v>1624</v>
      </c>
      <c r="Y175" s="23"/>
      <c r="Z175" s="22">
        <v>1</v>
      </c>
      <c r="AA175" s="22">
        <v>300000</v>
      </c>
      <c r="AB175" s="22">
        <v>300000</v>
      </c>
      <c r="AC175" s="22">
        <v>30000</v>
      </c>
      <c r="AD175" s="9"/>
      <c r="AE175" s="9" t="str">
        <f t="shared" si="9"/>
        <v>20260715</v>
      </c>
      <c r="AF175" s="22" t="s">
        <v>1700</v>
      </c>
      <c r="AG175" s="23"/>
      <c r="AH175" s="22">
        <v>1</v>
      </c>
      <c r="AI175" s="22">
        <v>24225</v>
      </c>
      <c r="AJ175" s="22">
        <v>24225</v>
      </c>
      <c r="AK175" s="22">
        <v>2422</v>
      </c>
      <c r="AL175" s="9"/>
      <c r="AM175" s="9" t="str">
        <f t="shared" si="10"/>
        <v/>
      </c>
      <c r="AN175" s="23"/>
      <c r="AO175" s="23"/>
      <c r="AP175" s="23"/>
      <c r="AQ175" s="23"/>
      <c r="AR175" s="23"/>
      <c r="AS175" s="23"/>
      <c r="AT175" s="9"/>
      <c r="AU175" s="9" t="str">
        <f t="shared" si="11"/>
        <v/>
      </c>
      <c r="AV175" s="23"/>
      <c r="AW175" s="23"/>
      <c r="AX175" s="23"/>
      <c r="AY175" s="23"/>
      <c r="AZ175" s="23"/>
      <c r="BA175" s="23"/>
      <c r="BB175" s="9"/>
    </row>
    <row r="176" spans="1:54" ht="40.5" x14ac:dyDescent="0.3">
      <c r="A176" s="8" t="s">
        <v>65</v>
      </c>
      <c r="B176" s="9" t="s">
        <v>66</v>
      </c>
      <c r="C176" s="22" t="s">
        <v>1618</v>
      </c>
      <c r="D176" s="9">
        <v>20260715</v>
      </c>
      <c r="E176" s="22">
        <v>170000</v>
      </c>
      <c r="F176" s="22">
        <v>17000</v>
      </c>
      <c r="G176" s="9">
        <v>187000</v>
      </c>
      <c r="H176" s="22" t="s">
        <v>225</v>
      </c>
      <c r="I176" s="8"/>
      <c r="J176" s="22" t="s">
        <v>1414</v>
      </c>
      <c r="K176" s="22" t="s">
        <v>413</v>
      </c>
      <c r="L176" s="22" t="s">
        <v>1415</v>
      </c>
      <c r="M176" s="22" t="s">
        <v>1416</v>
      </c>
      <c r="N176" s="22" t="s">
        <v>1417</v>
      </c>
      <c r="O176" s="22" t="s">
        <v>417</v>
      </c>
      <c r="P176" s="22" t="s">
        <v>420</v>
      </c>
      <c r="Q176" s="22" t="s">
        <v>418</v>
      </c>
      <c r="R176" s="22" t="s">
        <v>419</v>
      </c>
      <c r="S176" s="9"/>
      <c r="T176" s="9"/>
      <c r="U176" s="9"/>
      <c r="V176" s="9"/>
      <c r="W176" s="9" t="str">
        <f t="shared" si="8"/>
        <v>20260715</v>
      </c>
      <c r="X176" s="22" t="s">
        <v>1678</v>
      </c>
      <c r="Y176" s="23"/>
      <c r="Z176" s="22">
        <v>1</v>
      </c>
      <c r="AA176" s="22">
        <v>170000</v>
      </c>
      <c r="AB176" s="22">
        <v>170000</v>
      </c>
      <c r="AC176" s="22">
        <v>17000</v>
      </c>
      <c r="AD176" s="9"/>
      <c r="AE176" s="9" t="str">
        <f t="shared" si="9"/>
        <v/>
      </c>
      <c r="AF176" s="23"/>
      <c r="AG176" s="23"/>
      <c r="AH176" s="23"/>
      <c r="AI176" s="23"/>
      <c r="AJ176" s="23"/>
      <c r="AK176" s="23"/>
      <c r="AL176" s="9"/>
      <c r="AM176" s="9" t="str">
        <f t="shared" si="10"/>
        <v/>
      </c>
      <c r="AN176" s="23"/>
      <c r="AO176" s="23"/>
      <c r="AP176" s="23"/>
      <c r="AQ176" s="23"/>
      <c r="AR176" s="23"/>
      <c r="AS176" s="23"/>
      <c r="AT176" s="9"/>
      <c r="AU176" s="9" t="str">
        <f t="shared" si="11"/>
        <v/>
      </c>
      <c r="AV176" s="23"/>
      <c r="AW176" s="23"/>
      <c r="AX176" s="23"/>
      <c r="AY176" s="23"/>
      <c r="AZ176" s="23"/>
      <c r="BA176" s="23"/>
      <c r="BB176" s="9"/>
    </row>
    <row r="177" spans="1:54" ht="81" x14ac:dyDescent="0.3">
      <c r="A177" s="8" t="s">
        <v>65</v>
      </c>
      <c r="B177" s="9" t="s">
        <v>66</v>
      </c>
      <c r="C177" s="22" t="s">
        <v>1618</v>
      </c>
      <c r="D177" s="9">
        <v>20260715</v>
      </c>
      <c r="E177" s="22">
        <v>240000</v>
      </c>
      <c r="F177" s="22">
        <v>24000</v>
      </c>
      <c r="G177" s="9">
        <v>264000</v>
      </c>
      <c r="H177" s="22" t="s">
        <v>226</v>
      </c>
      <c r="I177" s="8"/>
      <c r="J177" s="22" t="s">
        <v>1418</v>
      </c>
      <c r="K177" s="22" t="s">
        <v>1419</v>
      </c>
      <c r="L177" s="22" t="s">
        <v>1420</v>
      </c>
      <c r="M177" s="22" t="s">
        <v>589</v>
      </c>
      <c r="N177" s="22" t="s">
        <v>487</v>
      </c>
      <c r="O177" s="22" t="s">
        <v>1421</v>
      </c>
      <c r="P177" s="22" t="s">
        <v>1424</v>
      </c>
      <c r="Q177" s="22" t="s">
        <v>1422</v>
      </c>
      <c r="R177" s="22" t="s">
        <v>1423</v>
      </c>
      <c r="S177" s="9"/>
      <c r="T177" s="9"/>
      <c r="U177" s="9"/>
      <c r="V177" s="9"/>
      <c r="W177" s="9" t="str">
        <f t="shared" si="8"/>
        <v>20260715</v>
      </c>
      <c r="X177" s="22" t="s">
        <v>1670</v>
      </c>
      <c r="Y177" s="23"/>
      <c r="Z177" s="22">
        <v>1</v>
      </c>
      <c r="AA177" s="22">
        <v>240000</v>
      </c>
      <c r="AB177" s="22">
        <v>240000</v>
      </c>
      <c r="AC177" s="22">
        <v>24000</v>
      </c>
      <c r="AD177" s="9"/>
      <c r="AE177" s="9" t="str">
        <f t="shared" si="9"/>
        <v/>
      </c>
      <c r="AF177" s="23"/>
      <c r="AG177" s="23"/>
      <c r="AH177" s="23"/>
      <c r="AI177" s="23"/>
      <c r="AJ177" s="23"/>
      <c r="AK177" s="23"/>
      <c r="AL177" s="9"/>
      <c r="AM177" s="9" t="str">
        <f t="shared" si="10"/>
        <v/>
      </c>
      <c r="AN177" s="23"/>
      <c r="AO177" s="23"/>
      <c r="AP177" s="23"/>
      <c r="AQ177" s="23"/>
      <c r="AR177" s="23"/>
      <c r="AS177" s="23"/>
      <c r="AT177" s="9"/>
      <c r="AU177" s="9" t="str">
        <f t="shared" si="11"/>
        <v/>
      </c>
      <c r="AV177" s="23"/>
      <c r="AW177" s="23"/>
      <c r="AX177" s="23"/>
      <c r="AY177" s="23"/>
      <c r="AZ177" s="23"/>
      <c r="BA177" s="23"/>
      <c r="BB177" s="9"/>
    </row>
    <row r="178" spans="1:54" ht="67.5" x14ac:dyDescent="0.3">
      <c r="A178" s="8" t="s">
        <v>65</v>
      </c>
      <c r="B178" s="9" t="s">
        <v>66</v>
      </c>
      <c r="C178" s="22" t="s">
        <v>1618</v>
      </c>
      <c r="D178" s="9">
        <v>20260715</v>
      </c>
      <c r="E178" s="22">
        <v>120000</v>
      </c>
      <c r="F178" s="22">
        <v>12000</v>
      </c>
      <c r="G178" s="9">
        <v>132000</v>
      </c>
      <c r="H178" s="22" t="s">
        <v>227</v>
      </c>
      <c r="I178" s="8"/>
      <c r="J178" s="22" t="s">
        <v>1425</v>
      </c>
      <c r="K178" s="22" t="s">
        <v>1426</v>
      </c>
      <c r="L178" s="22" t="s">
        <v>1427</v>
      </c>
      <c r="M178" s="22" t="s">
        <v>273</v>
      </c>
      <c r="N178" s="22" t="s">
        <v>1428</v>
      </c>
      <c r="O178" s="22" t="s">
        <v>1429</v>
      </c>
      <c r="P178" s="22" t="s">
        <v>1432</v>
      </c>
      <c r="Q178" s="22" t="s">
        <v>1430</v>
      </c>
      <c r="R178" s="22" t="s">
        <v>1431</v>
      </c>
      <c r="S178" s="9"/>
      <c r="T178" s="9"/>
      <c r="U178" s="9"/>
      <c r="V178" s="9"/>
      <c r="W178" s="9" t="str">
        <f t="shared" si="8"/>
        <v>20260715</v>
      </c>
      <c r="X178" s="22" t="s">
        <v>1621</v>
      </c>
      <c r="Y178" s="23"/>
      <c r="Z178" s="22">
        <v>1</v>
      </c>
      <c r="AA178" s="22">
        <v>120000</v>
      </c>
      <c r="AB178" s="22">
        <v>120000</v>
      </c>
      <c r="AC178" s="22">
        <v>12000</v>
      </c>
      <c r="AD178" s="9"/>
      <c r="AE178" s="9" t="str">
        <f t="shared" si="9"/>
        <v/>
      </c>
      <c r="AF178" s="23"/>
      <c r="AG178" s="23"/>
      <c r="AH178" s="23"/>
      <c r="AI178" s="23"/>
      <c r="AJ178" s="23"/>
      <c r="AK178" s="23"/>
      <c r="AL178" s="9"/>
      <c r="AM178" s="9" t="str">
        <f t="shared" si="10"/>
        <v/>
      </c>
      <c r="AN178" s="23"/>
      <c r="AO178" s="23"/>
      <c r="AP178" s="23"/>
      <c r="AQ178" s="23"/>
      <c r="AR178" s="23"/>
      <c r="AS178" s="23"/>
      <c r="AT178" s="9"/>
      <c r="AU178" s="9" t="str">
        <f t="shared" si="11"/>
        <v/>
      </c>
      <c r="AV178" s="23"/>
      <c r="AW178" s="23"/>
      <c r="AX178" s="23"/>
      <c r="AY178" s="23"/>
      <c r="AZ178" s="23"/>
      <c r="BA178" s="23"/>
      <c r="BB178" s="9"/>
    </row>
    <row r="179" spans="1:54" ht="81" x14ac:dyDescent="0.3">
      <c r="A179" s="8" t="s">
        <v>65</v>
      </c>
      <c r="B179" s="9" t="s">
        <v>66</v>
      </c>
      <c r="C179" s="22" t="s">
        <v>1618</v>
      </c>
      <c r="D179" s="9">
        <v>20260715</v>
      </c>
      <c r="E179" s="22">
        <v>330000</v>
      </c>
      <c r="F179" s="22">
        <v>33000</v>
      </c>
      <c r="G179" s="9">
        <v>363000</v>
      </c>
      <c r="H179" s="22" t="s">
        <v>228</v>
      </c>
      <c r="I179" s="8"/>
      <c r="J179" s="22" t="s">
        <v>1433</v>
      </c>
      <c r="K179" s="22" t="s">
        <v>1434</v>
      </c>
      <c r="L179" s="22" t="s">
        <v>1435</v>
      </c>
      <c r="M179" s="22" t="s">
        <v>1044</v>
      </c>
      <c r="N179" s="22" t="s">
        <v>1436</v>
      </c>
      <c r="O179" s="22" t="s">
        <v>1437</v>
      </c>
      <c r="P179" s="22" t="s">
        <v>1439</v>
      </c>
      <c r="Q179" s="22" t="s">
        <v>1438</v>
      </c>
      <c r="R179" s="22" t="s">
        <v>292</v>
      </c>
      <c r="S179" s="9"/>
      <c r="T179" s="9"/>
      <c r="U179" s="9"/>
      <c r="V179" s="9"/>
      <c r="W179" s="9" t="str">
        <f t="shared" si="8"/>
        <v>20260715</v>
      </c>
      <c r="X179" s="22" t="s">
        <v>1679</v>
      </c>
      <c r="Y179" s="23"/>
      <c r="Z179" s="22">
        <v>1</v>
      </c>
      <c r="AA179" s="22">
        <v>174000</v>
      </c>
      <c r="AB179" s="22">
        <v>174000</v>
      </c>
      <c r="AC179" s="22">
        <v>17400</v>
      </c>
      <c r="AD179" s="9"/>
      <c r="AE179" s="9" t="str">
        <f t="shared" si="9"/>
        <v>20260715</v>
      </c>
      <c r="AF179" s="22" t="s">
        <v>1701</v>
      </c>
      <c r="AG179" s="23"/>
      <c r="AH179" s="22">
        <v>1</v>
      </c>
      <c r="AI179" s="22">
        <v>156000</v>
      </c>
      <c r="AJ179" s="22">
        <v>156000</v>
      </c>
      <c r="AK179" s="22">
        <v>15600</v>
      </c>
      <c r="AL179" s="9"/>
      <c r="AM179" s="9" t="str">
        <f t="shared" si="10"/>
        <v/>
      </c>
      <c r="AN179" s="23"/>
      <c r="AO179" s="23"/>
      <c r="AP179" s="23"/>
      <c r="AQ179" s="23"/>
      <c r="AR179" s="23"/>
      <c r="AS179" s="23"/>
      <c r="AT179" s="9"/>
      <c r="AU179" s="9" t="str">
        <f t="shared" si="11"/>
        <v/>
      </c>
      <c r="AV179" s="23"/>
      <c r="AW179" s="23"/>
      <c r="AX179" s="23"/>
      <c r="AY179" s="23"/>
      <c r="AZ179" s="23"/>
      <c r="BA179" s="23"/>
      <c r="BB179" s="9"/>
    </row>
    <row r="180" spans="1:54" ht="40.5" x14ac:dyDescent="0.3">
      <c r="A180" s="8" t="s">
        <v>65</v>
      </c>
      <c r="B180" s="9" t="s">
        <v>66</v>
      </c>
      <c r="C180" s="22" t="s">
        <v>1618</v>
      </c>
      <c r="D180" s="9">
        <v>20260715</v>
      </c>
      <c r="E180" s="22">
        <v>30000</v>
      </c>
      <c r="F180" s="22">
        <v>3000</v>
      </c>
      <c r="G180" s="9">
        <v>33000</v>
      </c>
      <c r="H180" s="22" t="s">
        <v>229</v>
      </c>
      <c r="I180" s="8"/>
      <c r="J180" s="22" t="s">
        <v>1440</v>
      </c>
      <c r="K180" s="22" t="s">
        <v>1441</v>
      </c>
      <c r="L180" s="22" t="s">
        <v>1442</v>
      </c>
      <c r="M180" s="22" t="s">
        <v>297</v>
      </c>
      <c r="N180" s="22" t="s">
        <v>359</v>
      </c>
      <c r="O180" s="22" t="s">
        <v>1443</v>
      </c>
      <c r="P180" s="22" t="s">
        <v>1445</v>
      </c>
      <c r="Q180" s="22" t="s">
        <v>1444</v>
      </c>
      <c r="R180" s="22" t="s">
        <v>292</v>
      </c>
      <c r="S180" s="9"/>
      <c r="T180" s="9"/>
      <c r="U180" s="9"/>
      <c r="V180" s="9"/>
      <c r="W180" s="9" t="str">
        <f t="shared" si="8"/>
        <v>20260715</v>
      </c>
      <c r="X180" s="22" t="s">
        <v>1624</v>
      </c>
      <c r="Y180" s="23"/>
      <c r="Z180" s="22">
        <v>1</v>
      </c>
      <c r="AA180" s="22">
        <v>30000</v>
      </c>
      <c r="AB180" s="22">
        <v>30000</v>
      </c>
      <c r="AC180" s="22">
        <v>3000</v>
      </c>
      <c r="AD180" s="9"/>
      <c r="AE180" s="9" t="str">
        <f t="shared" si="9"/>
        <v/>
      </c>
      <c r="AF180" s="23"/>
      <c r="AG180" s="23"/>
      <c r="AH180" s="23"/>
      <c r="AI180" s="23"/>
      <c r="AJ180" s="23"/>
      <c r="AK180" s="23"/>
      <c r="AL180" s="9"/>
      <c r="AM180" s="9" t="str">
        <f t="shared" si="10"/>
        <v/>
      </c>
      <c r="AN180" s="23"/>
      <c r="AO180" s="23"/>
      <c r="AP180" s="23"/>
      <c r="AQ180" s="23"/>
      <c r="AR180" s="23"/>
      <c r="AS180" s="23"/>
      <c r="AT180" s="9"/>
      <c r="AU180" s="9" t="str">
        <f t="shared" si="11"/>
        <v/>
      </c>
      <c r="AV180" s="23"/>
      <c r="AW180" s="23"/>
      <c r="AX180" s="23"/>
      <c r="AY180" s="23"/>
      <c r="AZ180" s="23"/>
      <c r="BA180" s="23"/>
      <c r="BB180" s="9"/>
    </row>
    <row r="181" spans="1:54" ht="67.5" x14ac:dyDescent="0.3">
      <c r="A181" s="8" t="s">
        <v>65</v>
      </c>
      <c r="B181" s="9" t="s">
        <v>66</v>
      </c>
      <c r="C181" s="22" t="s">
        <v>1618</v>
      </c>
      <c r="D181" s="9">
        <v>20260715</v>
      </c>
      <c r="E181" s="22">
        <v>252000</v>
      </c>
      <c r="F181" s="22">
        <v>25200</v>
      </c>
      <c r="G181" s="9">
        <v>277200</v>
      </c>
      <c r="H181" s="22" t="s">
        <v>230</v>
      </c>
      <c r="I181" s="8"/>
      <c r="J181" s="22" t="s">
        <v>1446</v>
      </c>
      <c r="K181" s="22" t="s">
        <v>1447</v>
      </c>
      <c r="L181" s="22" t="s">
        <v>1448</v>
      </c>
      <c r="M181" s="22" t="s">
        <v>273</v>
      </c>
      <c r="N181" s="22" t="s">
        <v>1449</v>
      </c>
      <c r="O181" s="22" t="s">
        <v>1450</v>
      </c>
      <c r="P181" s="22" t="s">
        <v>1453</v>
      </c>
      <c r="Q181" s="22" t="s">
        <v>1451</v>
      </c>
      <c r="R181" s="22" t="s">
        <v>1452</v>
      </c>
      <c r="S181" s="9"/>
      <c r="T181" s="9"/>
      <c r="U181" s="9"/>
      <c r="V181" s="9"/>
      <c r="W181" s="9" t="str">
        <f t="shared" si="8"/>
        <v>20260715</v>
      </c>
      <c r="X181" s="22" t="s">
        <v>1625</v>
      </c>
      <c r="Y181" s="23"/>
      <c r="Z181" s="22">
        <v>1</v>
      </c>
      <c r="AA181" s="22">
        <v>207000</v>
      </c>
      <c r="AB181" s="22">
        <v>207000</v>
      </c>
      <c r="AC181" s="22">
        <v>20700</v>
      </c>
      <c r="AD181" s="9"/>
      <c r="AE181" s="9" t="str">
        <f t="shared" si="9"/>
        <v>20260715</v>
      </c>
      <c r="AF181" s="22" t="s">
        <v>1702</v>
      </c>
      <c r="AG181" s="23"/>
      <c r="AH181" s="22">
        <v>1</v>
      </c>
      <c r="AI181" s="22">
        <v>45000</v>
      </c>
      <c r="AJ181" s="22">
        <v>45000</v>
      </c>
      <c r="AK181" s="22">
        <v>4500</v>
      </c>
      <c r="AL181" s="9"/>
      <c r="AM181" s="9" t="str">
        <f t="shared" si="10"/>
        <v/>
      </c>
      <c r="AN181" s="23"/>
      <c r="AO181" s="23"/>
      <c r="AP181" s="23"/>
      <c r="AQ181" s="23"/>
      <c r="AR181" s="23"/>
      <c r="AS181" s="23"/>
      <c r="AT181" s="9"/>
      <c r="AU181" s="9" t="str">
        <f t="shared" si="11"/>
        <v/>
      </c>
      <c r="AV181" s="23"/>
      <c r="AW181" s="23"/>
      <c r="AX181" s="23"/>
      <c r="AY181" s="23"/>
      <c r="AZ181" s="23"/>
      <c r="BA181" s="23"/>
      <c r="BB181" s="9"/>
    </row>
    <row r="182" spans="1:54" ht="67.5" x14ac:dyDescent="0.3">
      <c r="A182" s="8" t="s">
        <v>65</v>
      </c>
      <c r="B182" s="9" t="s">
        <v>66</v>
      </c>
      <c r="C182" s="22" t="s">
        <v>1618</v>
      </c>
      <c r="D182" s="9">
        <v>20260715</v>
      </c>
      <c r="E182" s="22">
        <v>150000</v>
      </c>
      <c r="F182" s="22">
        <v>15000</v>
      </c>
      <c r="G182" s="9">
        <v>165000</v>
      </c>
      <c r="H182" s="22" t="s">
        <v>231</v>
      </c>
      <c r="I182" s="8"/>
      <c r="J182" s="22" t="s">
        <v>1454</v>
      </c>
      <c r="K182" s="22" t="s">
        <v>1455</v>
      </c>
      <c r="L182" s="22" t="s">
        <v>1456</v>
      </c>
      <c r="M182" s="22" t="s">
        <v>653</v>
      </c>
      <c r="N182" s="22" t="s">
        <v>1457</v>
      </c>
      <c r="O182" s="22" t="s">
        <v>1458</v>
      </c>
      <c r="P182" s="22" t="s">
        <v>1460</v>
      </c>
      <c r="Q182" s="22" t="s">
        <v>1459</v>
      </c>
      <c r="R182" s="22" t="s">
        <v>292</v>
      </c>
      <c r="S182" s="9"/>
      <c r="T182" s="9"/>
      <c r="U182" s="9"/>
      <c r="V182" s="9"/>
      <c r="W182" s="9" t="str">
        <f t="shared" si="8"/>
        <v>20260715</v>
      </c>
      <c r="X182" s="22" t="s">
        <v>1676</v>
      </c>
      <c r="Y182" s="23"/>
      <c r="Z182" s="22">
        <v>1</v>
      </c>
      <c r="AA182" s="22">
        <v>150000</v>
      </c>
      <c r="AB182" s="22">
        <v>150000</v>
      </c>
      <c r="AC182" s="22">
        <v>15000</v>
      </c>
      <c r="AD182" s="9"/>
      <c r="AE182" s="9" t="str">
        <f t="shared" si="9"/>
        <v/>
      </c>
      <c r="AF182" s="23"/>
      <c r="AG182" s="23"/>
      <c r="AH182" s="23"/>
      <c r="AI182" s="23"/>
      <c r="AJ182" s="23"/>
      <c r="AK182" s="23"/>
      <c r="AL182" s="9"/>
      <c r="AM182" s="9" t="str">
        <f t="shared" si="10"/>
        <v/>
      </c>
      <c r="AN182" s="23"/>
      <c r="AO182" s="23"/>
      <c r="AP182" s="23"/>
      <c r="AQ182" s="23"/>
      <c r="AR182" s="23"/>
      <c r="AS182" s="23"/>
      <c r="AT182" s="9"/>
      <c r="AU182" s="9" t="str">
        <f t="shared" si="11"/>
        <v/>
      </c>
      <c r="AV182" s="23"/>
      <c r="AW182" s="23"/>
      <c r="AX182" s="23"/>
      <c r="AY182" s="23"/>
      <c r="AZ182" s="23"/>
      <c r="BA182" s="23"/>
      <c r="BB182" s="9"/>
    </row>
    <row r="183" spans="1:54" ht="54" x14ac:dyDescent="0.3">
      <c r="A183" s="8" t="s">
        <v>65</v>
      </c>
      <c r="B183" s="9" t="s">
        <v>66</v>
      </c>
      <c r="C183" s="22" t="s">
        <v>1618</v>
      </c>
      <c r="D183" s="9">
        <v>20260715</v>
      </c>
      <c r="E183" s="22">
        <v>650000</v>
      </c>
      <c r="F183" s="22">
        <v>65000</v>
      </c>
      <c r="G183" s="9">
        <v>715000</v>
      </c>
      <c r="H183" s="22" t="s">
        <v>232</v>
      </c>
      <c r="I183" s="8"/>
      <c r="J183" s="22" t="s">
        <v>1461</v>
      </c>
      <c r="K183" s="22" t="s">
        <v>1462</v>
      </c>
      <c r="L183" s="22" t="s">
        <v>1463</v>
      </c>
      <c r="M183" s="22" t="s">
        <v>741</v>
      </c>
      <c r="N183" s="22" t="s">
        <v>1464</v>
      </c>
      <c r="O183" s="22" t="s">
        <v>291</v>
      </c>
      <c r="P183" s="22" t="s">
        <v>1466</v>
      </c>
      <c r="Q183" s="22" t="s">
        <v>1465</v>
      </c>
      <c r="R183" s="22" t="s">
        <v>292</v>
      </c>
      <c r="S183" s="9"/>
      <c r="T183" s="9"/>
      <c r="U183" s="9"/>
      <c r="V183" s="9"/>
      <c r="W183" s="9" t="str">
        <f t="shared" si="8"/>
        <v>20260715</v>
      </c>
      <c r="X183" s="22" t="s">
        <v>1653</v>
      </c>
      <c r="Y183" s="23"/>
      <c r="Z183" s="22">
        <v>1</v>
      </c>
      <c r="AA183" s="22">
        <v>400000</v>
      </c>
      <c r="AB183" s="22">
        <v>400000</v>
      </c>
      <c r="AC183" s="22">
        <v>40000</v>
      </c>
      <c r="AD183" s="9"/>
      <c r="AE183" s="9" t="str">
        <f t="shared" si="9"/>
        <v>20260715</v>
      </c>
      <c r="AF183" s="22" t="s">
        <v>1631</v>
      </c>
      <c r="AG183" s="23"/>
      <c r="AH183" s="22">
        <v>1</v>
      </c>
      <c r="AI183" s="22">
        <v>250000</v>
      </c>
      <c r="AJ183" s="22">
        <v>250000</v>
      </c>
      <c r="AK183" s="22">
        <v>25000</v>
      </c>
      <c r="AL183" s="9"/>
      <c r="AM183" s="9" t="str">
        <f t="shared" si="10"/>
        <v/>
      </c>
      <c r="AN183" s="23"/>
      <c r="AO183" s="23"/>
      <c r="AP183" s="23"/>
      <c r="AQ183" s="23"/>
      <c r="AR183" s="23"/>
      <c r="AS183" s="23"/>
      <c r="AT183" s="9"/>
      <c r="AU183" s="9" t="str">
        <f t="shared" si="11"/>
        <v/>
      </c>
      <c r="AV183" s="23"/>
      <c r="AW183" s="23"/>
      <c r="AX183" s="23"/>
      <c r="AY183" s="23"/>
      <c r="AZ183" s="23"/>
      <c r="BA183" s="23"/>
      <c r="BB183" s="9"/>
    </row>
    <row r="184" spans="1:54" ht="54" x14ac:dyDescent="0.3">
      <c r="A184" s="8" t="s">
        <v>65</v>
      </c>
      <c r="B184" s="9" t="s">
        <v>66</v>
      </c>
      <c r="C184" s="22" t="s">
        <v>1618</v>
      </c>
      <c r="D184" s="9">
        <v>20260715</v>
      </c>
      <c r="E184" s="22">
        <v>380000</v>
      </c>
      <c r="F184" s="22">
        <v>38000</v>
      </c>
      <c r="G184" s="9">
        <v>418000</v>
      </c>
      <c r="H184" s="22" t="s">
        <v>233</v>
      </c>
      <c r="I184" s="8"/>
      <c r="J184" s="22" t="s">
        <v>1467</v>
      </c>
      <c r="K184" s="22" t="s">
        <v>1468</v>
      </c>
      <c r="L184" s="22" t="s">
        <v>1469</v>
      </c>
      <c r="M184" s="22" t="s">
        <v>1470</v>
      </c>
      <c r="N184" s="22" t="s">
        <v>946</v>
      </c>
      <c r="O184" s="22" t="s">
        <v>1471</v>
      </c>
      <c r="P184" s="22" t="s">
        <v>1474</v>
      </c>
      <c r="Q184" s="22" t="s">
        <v>1472</v>
      </c>
      <c r="R184" s="22" t="s">
        <v>1473</v>
      </c>
      <c r="S184" s="9"/>
      <c r="T184" s="9"/>
      <c r="U184" s="9"/>
      <c r="V184" s="9"/>
      <c r="W184" s="9" t="str">
        <f t="shared" si="8"/>
        <v>20260715</v>
      </c>
      <c r="X184" s="22" t="s">
        <v>1621</v>
      </c>
      <c r="Y184" s="23"/>
      <c r="Z184" s="22">
        <v>1</v>
      </c>
      <c r="AA184" s="22">
        <v>220000</v>
      </c>
      <c r="AB184" s="22">
        <v>220000</v>
      </c>
      <c r="AC184" s="22">
        <v>22000</v>
      </c>
      <c r="AD184" s="9"/>
      <c r="AE184" s="9" t="str">
        <f t="shared" si="9"/>
        <v>20260715</v>
      </c>
      <c r="AF184" s="22" t="s">
        <v>1629</v>
      </c>
      <c r="AG184" s="23"/>
      <c r="AH184" s="22">
        <v>1</v>
      </c>
      <c r="AI184" s="22">
        <v>160000</v>
      </c>
      <c r="AJ184" s="22">
        <v>160000</v>
      </c>
      <c r="AK184" s="22">
        <v>16000</v>
      </c>
      <c r="AL184" s="9"/>
      <c r="AM184" s="9" t="str">
        <f t="shared" si="10"/>
        <v/>
      </c>
      <c r="AN184" s="23"/>
      <c r="AO184" s="23"/>
      <c r="AP184" s="23"/>
      <c r="AQ184" s="23"/>
      <c r="AR184" s="23"/>
      <c r="AS184" s="23"/>
      <c r="AT184" s="9"/>
      <c r="AU184" s="9" t="str">
        <f t="shared" si="11"/>
        <v/>
      </c>
      <c r="AV184" s="23"/>
      <c r="AW184" s="23"/>
      <c r="AX184" s="23"/>
      <c r="AY184" s="23"/>
      <c r="AZ184" s="23"/>
      <c r="BA184" s="23"/>
      <c r="BB184" s="9"/>
    </row>
    <row r="185" spans="1:54" ht="81" x14ac:dyDescent="0.3">
      <c r="A185" s="8" t="s">
        <v>65</v>
      </c>
      <c r="B185" s="9" t="s">
        <v>66</v>
      </c>
      <c r="C185" s="22" t="s">
        <v>1618</v>
      </c>
      <c r="D185" s="9">
        <v>20260715</v>
      </c>
      <c r="E185" s="22">
        <v>385000</v>
      </c>
      <c r="F185" s="22">
        <v>38500</v>
      </c>
      <c r="G185" s="9">
        <v>423500</v>
      </c>
      <c r="H185" s="22" t="s">
        <v>234</v>
      </c>
      <c r="I185" s="8"/>
      <c r="J185" s="22" t="s">
        <v>1475</v>
      </c>
      <c r="K185" s="22" t="s">
        <v>1476</v>
      </c>
      <c r="L185" s="22" t="s">
        <v>1477</v>
      </c>
      <c r="M185" s="22" t="s">
        <v>1478</v>
      </c>
      <c r="N185" s="22" t="s">
        <v>1479</v>
      </c>
      <c r="O185" s="22" t="s">
        <v>1480</v>
      </c>
      <c r="P185" s="22" t="s">
        <v>1483</v>
      </c>
      <c r="Q185" s="22" t="s">
        <v>1481</v>
      </c>
      <c r="R185" s="22" t="s">
        <v>1482</v>
      </c>
      <c r="S185" s="9"/>
      <c r="T185" s="9"/>
      <c r="U185" s="9"/>
      <c r="V185" s="9"/>
      <c r="W185" s="9" t="str">
        <f t="shared" si="8"/>
        <v>20260715</v>
      </c>
      <c r="X185" s="22" t="s">
        <v>1653</v>
      </c>
      <c r="Y185" s="23"/>
      <c r="Z185" s="22">
        <v>1</v>
      </c>
      <c r="AA185" s="22">
        <v>340000</v>
      </c>
      <c r="AB185" s="22">
        <v>340000</v>
      </c>
      <c r="AC185" s="22">
        <v>34000</v>
      </c>
      <c r="AD185" s="9"/>
      <c r="AE185" s="9" t="str">
        <f t="shared" si="9"/>
        <v>20260715</v>
      </c>
      <c r="AF185" s="22" t="s">
        <v>1641</v>
      </c>
      <c r="AG185" s="23"/>
      <c r="AH185" s="22">
        <v>1</v>
      </c>
      <c r="AI185" s="22">
        <v>45000</v>
      </c>
      <c r="AJ185" s="22">
        <v>45000</v>
      </c>
      <c r="AK185" s="22">
        <v>4500</v>
      </c>
      <c r="AL185" s="9"/>
      <c r="AM185" s="9" t="str">
        <f t="shared" si="10"/>
        <v/>
      </c>
      <c r="AN185" s="23"/>
      <c r="AO185" s="23"/>
      <c r="AP185" s="23"/>
      <c r="AQ185" s="23"/>
      <c r="AR185" s="23"/>
      <c r="AS185" s="23"/>
      <c r="AT185" s="9"/>
      <c r="AU185" s="9" t="str">
        <f t="shared" si="11"/>
        <v/>
      </c>
      <c r="AV185" s="23"/>
      <c r="AW185" s="23"/>
      <c r="AX185" s="23"/>
      <c r="AY185" s="23"/>
      <c r="AZ185" s="23"/>
      <c r="BA185" s="23"/>
      <c r="BB185" s="9"/>
    </row>
    <row r="186" spans="1:54" ht="67.5" x14ac:dyDescent="0.3">
      <c r="A186" s="8" t="s">
        <v>65</v>
      </c>
      <c r="B186" s="9" t="s">
        <v>66</v>
      </c>
      <c r="C186" s="22" t="s">
        <v>1618</v>
      </c>
      <c r="D186" s="9">
        <v>20260715</v>
      </c>
      <c r="E186" s="22">
        <v>310000</v>
      </c>
      <c r="F186" s="22">
        <v>31000</v>
      </c>
      <c r="G186" s="9">
        <v>341000</v>
      </c>
      <c r="H186" s="22" t="s">
        <v>235</v>
      </c>
      <c r="I186" s="8"/>
      <c r="J186" s="22" t="s">
        <v>1484</v>
      </c>
      <c r="K186" s="22" t="s">
        <v>1485</v>
      </c>
      <c r="L186" s="22" t="s">
        <v>1486</v>
      </c>
      <c r="M186" s="22" t="s">
        <v>1487</v>
      </c>
      <c r="N186" s="22" t="s">
        <v>1488</v>
      </c>
      <c r="O186" s="22" t="s">
        <v>1489</v>
      </c>
      <c r="P186" s="22" t="s">
        <v>1491</v>
      </c>
      <c r="Q186" s="22" t="s">
        <v>1490</v>
      </c>
      <c r="R186" s="22" t="s">
        <v>292</v>
      </c>
      <c r="S186" s="9"/>
      <c r="T186" s="9"/>
      <c r="U186" s="9"/>
      <c r="V186" s="9"/>
      <c r="W186" s="9" t="str">
        <f t="shared" si="8"/>
        <v>20260715</v>
      </c>
      <c r="X186" s="22" t="s">
        <v>1621</v>
      </c>
      <c r="Y186" s="23"/>
      <c r="Z186" s="22">
        <v>1</v>
      </c>
      <c r="AA186" s="22">
        <v>310000</v>
      </c>
      <c r="AB186" s="22">
        <v>310000</v>
      </c>
      <c r="AC186" s="22">
        <v>31000</v>
      </c>
      <c r="AD186" s="9"/>
      <c r="AE186" s="9" t="str">
        <f t="shared" si="9"/>
        <v/>
      </c>
      <c r="AF186" s="23"/>
      <c r="AG186" s="23"/>
      <c r="AH186" s="23"/>
      <c r="AI186" s="23"/>
      <c r="AJ186" s="23"/>
      <c r="AK186" s="23"/>
      <c r="AL186" s="9"/>
      <c r="AM186" s="9" t="str">
        <f t="shared" si="10"/>
        <v/>
      </c>
      <c r="AN186" s="23"/>
      <c r="AO186" s="23"/>
      <c r="AP186" s="23"/>
      <c r="AQ186" s="23"/>
      <c r="AR186" s="23"/>
      <c r="AS186" s="23"/>
      <c r="AT186" s="9"/>
      <c r="AU186" s="9" t="str">
        <f t="shared" si="11"/>
        <v/>
      </c>
      <c r="AV186" s="23"/>
      <c r="AW186" s="23"/>
      <c r="AX186" s="23"/>
      <c r="AY186" s="23"/>
      <c r="AZ186" s="23"/>
      <c r="BA186" s="23"/>
      <c r="BB186" s="9"/>
    </row>
    <row r="187" spans="1:54" ht="67.5" x14ac:dyDescent="0.3">
      <c r="A187" s="8" t="s">
        <v>65</v>
      </c>
      <c r="B187" s="9" t="s">
        <v>66</v>
      </c>
      <c r="C187" s="22" t="s">
        <v>1618</v>
      </c>
      <c r="D187" s="9">
        <v>20260715</v>
      </c>
      <c r="E187" s="22">
        <v>400000</v>
      </c>
      <c r="F187" s="22">
        <v>40000</v>
      </c>
      <c r="G187" s="9">
        <v>440000</v>
      </c>
      <c r="H187" s="22" t="s">
        <v>236</v>
      </c>
      <c r="I187" s="8"/>
      <c r="J187" s="22" t="s">
        <v>1492</v>
      </c>
      <c r="K187" s="22" t="s">
        <v>1493</v>
      </c>
      <c r="L187" s="22" t="s">
        <v>1494</v>
      </c>
      <c r="M187" s="22" t="s">
        <v>452</v>
      </c>
      <c r="N187" s="22" t="s">
        <v>1495</v>
      </c>
      <c r="O187" s="22" t="s">
        <v>291</v>
      </c>
      <c r="P187" s="22" t="s">
        <v>1497</v>
      </c>
      <c r="Q187" s="22" t="s">
        <v>1496</v>
      </c>
      <c r="R187" s="22" t="s">
        <v>292</v>
      </c>
      <c r="S187" s="9"/>
      <c r="T187" s="9"/>
      <c r="U187" s="9"/>
      <c r="V187" s="9"/>
      <c r="W187" s="9" t="str">
        <f t="shared" si="8"/>
        <v>20260715</v>
      </c>
      <c r="X187" s="22" t="s">
        <v>1633</v>
      </c>
      <c r="Y187" s="23"/>
      <c r="Z187" s="22">
        <v>1</v>
      </c>
      <c r="AA187" s="22">
        <v>300000</v>
      </c>
      <c r="AB187" s="22">
        <v>300000</v>
      </c>
      <c r="AC187" s="22">
        <v>30000</v>
      </c>
      <c r="AD187" s="9"/>
      <c r="AE187" s="9" t="str">
        <f t="shared" si="9"/>
        <v>20260715</v>
      </c>
      <c r="AF187" s="22" t="s">
        <v>1634</v>
      </c>
      <c r="AG187" s="23"/>
      <c r="AH187" s="22">
        <v>1</v>
      </c>
      <c r="AI187" s="22">
        <v>100000</v>
      </c>
      <c r="AJ187" s="22">
        <v>100000</v>
      </c>
      <c r="AK187" s="22">
        <v>10000</v>
      </c>
      <c r="AL187" s="9"/>
      <c r="AM187" s="9" t="str">
        <f t="shared" si="10"/>
        <v/>
      </c>
      <c r="AN187" s="23"/>
      <c r="AO187" s="23"/>
      <c r="AP187" s="23"/>
      <c r="AQ187" s="23"/>
      <c r="AR187" s="23"/>
      <c r="AS187" s="23"/>
      <c r="AT187" s="9"/>
      <c r="AU187" s="9" t="str">
        <f t="shared" si="11"/>
        <v/>
      </c>
      <c r="AV187" s="23"/>
      <c r="AW187" s="23"/>
      <c r="AX187" s="23"/>
      <c r="AY187" s="23"/>
      <c r="AZ187" s="23"/>
      <c r="BA187" s="23"/>
      <c r="BB187" s="9"/>
    </row>
    <row r="188" spans="1:54" ht="67.5" x14ac:dyDescent="0.3">
      <c r="A188" s="8" t="s">
        <v>65</v>
      </c>
      <c r="B188" s="9" t="s">
        <v>66</v>
      </c>
      <c r="C188" s="22" t="s">
        <v>1618</v>
      </c>
      <c r="D188" s="9">
        <v>20260715</v>
      </c>
      <c r="E188" s="22">
        <v>476000</v>
      </c>
      <c r="F188" s="22">
        <v>47600</v>
      </c>
      <c r="G188" s="9">
        <v>523600</v>
      </c>
      <c r="H188" s="22" t="s">
        <v>237</v>
      </c>
      <c r="I188" s="8"/>
      <c r="J188" s="22" t="s">
        <v>1498</v>
      </c>
      <c r="K188" s="22" t="s">
        <v>1499</v>
      </c>
      <c r="L188" s="22" t="s">
        <v>1500</v>
      </c>
      <c r="M188" s="22" t="s">
        <v>900</v>
      </c>
      <c r="N188" s="22" t="s">
        <v>1501</v>
      </c>
      <c r="O188" s="22" t="s">
        <v>1502</v>
      </c>
      <c r="P188" s="22" t="s">
        <v>1504</v>
      </c>
      <c r="Q188" s="22" t="s">
        <v>259</v>
      </c>
      <c r="R188" s="22" t="s">
        <v>1503</v>
      </c>
      <c r="S188" s="9"/>
      <c r="T188" s="9"/>
      <c r="U188" s="9"/>
      <c r="V188" s="9"/>
      <c r="W188" s="9" t="str">
        <f t="shared" si="8"/>
        <v>20260715</v>
      </c>
      <c r="X188" s="22" t="s">
        <v>1635</v>
      </c>
      <c r="Y188" s="23"/>
      <c r="Z188" s="22">
        <v>1</v>
      </c>
      <c r="AA188" s="22">
        <v>400000</v>
      </c>
      <c r="AB188" s="22">
        <v>400000</v>
      </c>
      <c r="AC188" s="22">
        <v>40000</v>
      </c>
      <c r="AD188" s="9"/>
      <c r="AE188" s="9" t="str">
        <f t="shared" si="9"/>
        <v>20260715</v>
      </c>
      <c r="AF188" s="22" t="s">
        <v>1657</v>
      </c>
      <c r="AG188" s="23"/>
      <c r="AH188" s="22">
        <v>1</v>
      </c>
      <c r="AI188" s="22">
        <v>76000</v>
      </c>
      <c r="AJ188" s="22">
        <v>76000</v>
      </c>
      <c r="AK188" s="22">
        <v>7600</v>
      </c>
      <c r="AL188" s="9"/>
      <c r="AM188" s="9" t="str">
        <f t="shared" si="10"/>
        <v/>
      </c>
      <c r="AN188" s="23"/>
      <c r="AO188" s="23"/>
      <c r="AP188" s="23"/>
      <c r="AQ188" s="23"/>
      <c r="AR188" s="23"/>
      <c r="AS188" s="23"/>
      <c r="AT188" s="9"/>
      <c r="AU188" s="9" t="str">
        <f t="shared" si="11"/>
        <v/>
      </c>
      <c r="AV188" s="23"/>
      <c r="AW188" s="23"/>
      <c r="AX188" s="23"/>
      <c r="AY188" s="23"/>
      <c r="AZ188" s="23"/>
      <c r="BA188" s="23"/>
      <c r="BB188" s="9"/>
    </row>
    <row r="189" spans="1:54" ht="67.5" x14ac:dyDescent="0.3">
      <c r="A189" s="8" t="s">
        <v>65</v>
      </c>
      <c r="B189" s="9" t="s">
        <v>66</v>
      </c>
      <c r="C189" s="22" t="s">
        <v>1618</v>
      </c>
      <c r="D189" s="9">
        <v>20260715</v>
      </c>
      <c r="E189" s="22">
        <v>239614</v>
      </c>
      <c r="F189" s="22">
        <v>23961</v>
      </c>
      <c r="G189" s="9">
        <v>263575</v>
      </c>
      <c r="H189" s="22" t="s">
        <v>238</v>
      </c>
      <c r="I189" s="8"/>
      <c r="J189" s="22" t="s">
        <v>1505</v>
      </c>
      <c r="K189" s="22" t="s">
        <v>1506</v>
      </c>
      <c r="L189" s="22" t="s">
        <v>1507</v>
      </c>
      <c r="M189" s="22" t="s">
        <v>1508</v>
      </c>
      <c r="N189" s="22" t="s">
        <v>1509</v>
      </c>
      <c r="O189" s="22" t="s">
        <v>1510</v>
      </c>
      <c r="P189" s="22" t="s">
        <v>1513</v>
      </c>
      <c r="Q189" s="22" t="s">
        <v>1511</v>
      </c>
      <c r="R189" s="22" t="s">
        <v>1512</v>
      </c>
      <c r="S189" s="9"/>
      <c r="T189" s="9"/>
      <c r="U189" s="9"/>
      <c r="V189" s="9"/>
      <c r="W189" s="9" t="str">
        <f t="shared" si="8"/>
        <v>20260715</v>
      </c>
      <c r="X189" s="22" t="s">
        <v>1621</v>
      </c>
      <c r="Y189" s="23"/>
      <c r="Z189" s="22">
        <v>1</v>
      </c>
      <c r="AA189" s="22">
        <v>239614</v>
      </c>
      <c r="AB189" s="22">
        <v>239614</v>
      </c>
      <c r="AC189" s="22">
        <v>23961</v>
      </c>
      <c r="AD189" s="9"/>
      <c r="AE189" s="9" t="str">
        <f t="shared" si="9"/>
        <v/>
      </c>
      <c r="AF189" s="23"/>
      <c r="AG189" s="23"/>
      <c r="AH189" s="23"/>
      <c r="AI189" s="23"/>
      <c r="AJ189" s="23"/>
      <c r="AK189" s="23"/>
      <c r="AL189" s="9"/>
      <c r="AM189" s="9" t="str">
        <f t="shared" si="10"/>
        <v/>
      </c>
      <c r="AN189" s="23"/>
      <c r="AO189" s="23"/>
      <c r="AP189" s="23"/>
      <c r="AQ189" s="23"/>
      <c r="AR189" s="23"/>
      <c r="AS189" s="23"/>
      <c r="AT189" s="9"/>
      <c r="AU189" s="9" t="str">
        <f t="shared" si="11"/>
        <v/>
      </c>
      <c r="AV189" s="23"/>
      <c r="AW189" s="23"/>
      <c r="AX189" s="23"/>
      <c r="AY189" s="23"/>
      <c r="AZ189" s="23"/>
      <c r="BA189" s="23"/>
      <c r="BB189" s="9"/>
    </row>
    <row r="190" spans="1:54" ht="67.5" x14ac:dyDescent="0.3">
      <c r="A190" s="8" t="s">
        <v>65</v>
      </c>
      <c r="B190" s="9" t="s">
        <v>66</v>
      </c>
      <c r="C190" s="22" t="s">
        <v>1618</v>
      </c>
      <c r="D190" s="9">
        <v>20260715</v>
      </c>
      <c r="E190" s="22">
        <v>100000</v>
      </c>
      <c r="F190" s="22">
        <v>10000</v>
      </c>
      <c r="G190" s="9">
        <v>110000</v>
      </c>
      <c r="H190" s="22" t="s">
        <v>216</v>
      </c>
      <c r="I190" s="8"/>
      <c r="J190" s="22" t="s">
        <v>1358</v>
      </c>
      <c r="K190" s="22" t="s">
        <v>1359</v>
      </c>
      <c r="L190" s="22" t="s">
        <v>1360</v>
      </c>
      <c r="M190" s="22" t="s">
        <v>597</v>
      </c>
      <c r="N190" s="22" t="s">
        <v>1361</v>
      </c>
      <c r="O190" s="22" t="s">
        <v>1514</v>
      </c>
      <c r="P190" s="22" t="s">
        <v>1363</v>
      </c>
      <c r="Q190" s="22" t="s">
        <v>1515</v>
      </c>
      <c r="R190" s="22" t="s">
        <v>1516</v>
      </c>
      <c r="S190" s="9"/>
      <c r="T190" s="9"/>
      <c r="U190" s="9"/>
      <c r="V190" s="9"/>
      <c r="W190" s="9" t="str">
        <f t="shared" si="8"/>
        <v>20260715</v>
      </c>
      <c r="X190" s="22" t="s">
        <v>1626</v>
      </c>
      <c r="Y190" s="23"/>
      <c r="Z190" s="22">
        <v>1</v>
      </c>
      <c r="AA190" s="22">
        <v>100000</v>
      </c>
      <c r="AB190" s="22">
        <v>100000</v>
      </c>
      <c r="AC190" s="22">
        <v>10000</v>
      </c>
      <c r="AD190" s="9"/>
      <c r="AE190" s="9" t="str">
        <f t="shared" si="9"/>
        <v/>
      </c>
      <c r="AF190" s="23"/>
      <c r="AG190" s="23"/>
      <c r="AH190" s="23"/>
      <c r="AI190" s="23"/>
      <c r="AJ190" s="23"/>
      <c r="AK190" s="23"/>
      <c r="AL190" s="9"/>
      <c r="AM190" s="9" t="str">
        <f t="shared" si="10"/>
        <v/>
      </c>
      <c r="AN190" s="23"/>
      <c r="AO190" s="23"/>
      <c r="AP190" s="23"/>
      <c r="AQ190" s="23"/>
      <c r="AR190" s="23"/>
      <c r="AS190" s="23"/>
      <c r="AT190" s="9"/>
      <c r="AU190" s="9" t="str">
        <f t="shared" si="11"/>
        <v/>
      </c>
      <c r="AV190" s="23"/>
      <c r="AW190" s="23"/>
      <c r="AX190" s="23"/>
      <c r="AY190" s="23"/>
      <c r="AZ190" s="23"/>
      <c r="BA190" s="23"/>
      <c r="BB190" s="9"/>
    </row>
    <row r="191" spans="1:54" ht="54" x14ac:dyDescent="0.3">
      <c r="A191" s="8" t="s">
        <v>65</v>
      </c>
      <c r="B191" s="9" t="s">
        <v>66</v>
      </c>
      <c r="C191" s="22" t="s">
        <v>1618</v>
      </c>
      <c r="D191" s="9">
        <v>20260715</v>
      </c>
      <c r="E191" s="22">
        <v>59500</v>
      </c>
      <c r="F191" s="22">
        <v>5950</v>
      </c>
      <c r="G191" s="9">
        <v>65450</v>
      </c>
      <c r="H191" s="22" t="s">
        <v>239</v>
      </c>
      <c r="I191" s="8"/>
      <c r="J191" s="22" t="s">
        <v>1517</v>
      </c>
      <c r="K191" s="22" t="s">
        <v>1518</v>
      </c>
      <c r="L191" s="22" t="s">
        <v>1519</v>
      </c>
      <c r="M191" s="22" t="s">
        <v>1520</v>
      </c>
      <c r="N191" s="22" t="s">
        <v>1521</v>
      </c>
      <c r="O191" s="22" t="s">
        <v>1379</v>
      </c>
      <c r="P191" s="22" t="s">
        <v>1523</v>
      </c>
      <c r="Q191" s="22" t="s">
        <v>1522</v>
      </c>
      <c r="R191" s="22" t="s">
        <v>1381</v>
      </c>
      <c r="S191" s="9"/>
      <c r="T191" s="9"/>
      <c r="U191" s="9"/>
      <c r="V191" s="9"/>
      <c r="W191" s="9" t="str">
        <f t="shared" si="8"/>
        <v>20260715</v>
      </c>
      <c r="X191" s="22" t="s">
        <v>1677</v>
      </c>
      <c r="Y191" s="23"/>
      <c r="Z191" s="22">
        <v>1</v>
      </c>
      <c r="AA191" s="22">
        <v>59500</v>
      </c>
      <c r="AB191" s="22">
        <v>59500</v>
      </c>
      <c r="AC191" s="22">
        <v>5950</v>
      </c>
      <c r="AD191" s="9"/>
      <c r="AE191" s="9" t="str">
        <f t="shared" si="9"/>
        <v/>
      </c>
      <c r="AF191" s="23"/>
      <c r="AG191" s="23"/>
      <c r="AH191" s="23"/>
      <c r="AI191" s="23"/>
      <c r="AJ191" s="23"/>
      <c r="AK191" s="23"/>
      <c r="AL191" s="9"/>
      <c r="AM191" s="9" t="str">
        <f t="shared" si="10"/>
        <v/>
      </c>
      <c r="AN191" s="23"/>
      <c r="AO191" s="23"/>
      <c r="AP191" s="23"/>
      <c r="AQ191" s="23"/>
      <c r="AR191" s="23"/>
      <c r="AS191" s="23"/>
      <c r="AT191" s="9"/>
      <c r="AU191" s="9" t="str">
        <f t="shared" si="11"/>
        <v/>
      </c>
      <c r="AV191" s="23"/>
      <c r="AW191" s="23"/>
      <c r="AX191" s="23"/>
      <c r="AY191" s="23"/>
      <c r="AZ191" s="23"/>
      <c r="BA191" s="23"/>
      <c r="BB191" s="9"/>
    </row>
    <row r="192" spans="1:54" ht="54" x14ac:dyDescent="0.3">
      <c r="A192" s="8" t="s">
        <v>65</v>
      </c>
      <c r="B192" s="9" t="s">
        <v>66</v>
      </c>
      <c r="C192" s="22" t="s">
        <v>1618</v>
      </c>
      <c r="D192" s="9">
        <v>20260715</v>
      </c>
      <c r="E192" s="22">
        <v>120000</v>
      </c>
      <c r="F192" s="22">
        <v>12000</v>
      </c>
      <c r="G192" s="9">
        <v>132000</v>
      </c>
      <c r="H192" s="22" t="s">
        <v>240</v>
      </c>
      <c r="I192" s="8"/>
      <c r="J192" s="22" t="s">
        <v>1524</v>
      </c>
      <c r="K192" s="22" t="s">
        <v>1525</v>
      </c>
      <c r="L192" s="22" t="s">
        <v>1526</v>
      </c>
      <c r="M192" s="22" t="s">
        <v>900</v>
      </c>
      <c r="N192" s="22" t="s">
        <v>1527</v>
      </c>
      <c r="O192" s="22" t="s">
        <v>1528</v>
      </c>
      <c r="P192" s="22" t="s">
        <v>1530</v>
      </c>
      <c r="Q192" s="22" t="s">
        <v>1529</v>
      </c>
      <c r="R192" s="22" t="s">
        <v>292</v>
      </c>
      <c r="S192" s="9"/>
      <c r="T192" s="9"/>
      <c r="U192" s="9"/>
      <c r="V192" s="9"/>
      <c r="W192" s="9" t="str">
        <f t="shared" si="8"/>
        <v>20260715</v>
      </c>
      <c r="X192" s="22" t="s">
        <v>1680</v>
      </c>
      <c r="Y192" s="23"/>
      <c r="Z192" s="22">
        <v>1</v>
      </c>
      <c r="AA192" s="22">
        <v>120000</v>
      </c>
      <c r="AB192" s="22">
        <v>120000</v>
      </c>
      <c r="AC192" s="22">
        <v>12000</v>
      </c>
      <c r="AD192" s="9"/>
      <c r="AE192" s="9" t="str">
        <f t="shared" si="9"/>
        <v/>
      </c>
      <c r="AF192" s="23"/>
      <c r="AG192" s="23"/>
      <c r="AH192" s="23"/>
      <c r="AI192" s="23"/>
      <c r="AJ192" s="23"/>
      <c r="AK192" s="23"/>
      <c r="AL192" s="9"/>
      <c r="AM192" s="9" t="str">
        <f t="shared" si="10"/>
        <v/>
      </c>
      <c r="AN192" s="23"/>
      <c r="AO192" s="23"/>
      <c r="AP192" s="23"/>
      <c r="AQ192" s="23"/>
      <c r="AR192" s="23"/>
      <c r="AS192" s="23"/>
      <c r="AT192" s="9"/>
      <c r="AU192" s="9" t="str">
        <f t="shared" si="11"/>
        <v/>
      </c>
      <c r="AV192" s="23"/>
      <c r="AW192" s="23"/>
      <c r="AX192" s="23"/>
      <c r="AY192" s="23"/>
      <c r="AZ192" s="23"/>
      <c r="BA192" s="23"/>
      <c r="BB192" s="9"/>
    </row>
    <row r="193" spans="1:54" ht="67.5" x14ac:dyDescent="0.3">
      <c r="A193" s="8" t="s">
        <v>65</v>
      </c>
      <c r="B193" s="9" t="s">
        <v>66</v>
      </c>
      <c r="C193" s="22" t="s">
        <v>1618</v>
      </c>
      <c r="D193" s="9">
        <v>20260715</v>
      </c>
      <c r="E193" s="22">
        <v>300000</v>
      </c>
      <c r="F193" s="22">
        <v>30000</v>
      </c>
      <c r="G193" s="9">
        <v>330000</v>
      </c>
      <c r="H193" s="22" t="s">
        <v>237</v>
      </c>
      <c r="I193" s="8"/>
      <c r="J193" s="22" t="s">
        <v>1498</v>
      </c>
      <c r="K193" s="22" t="s">
        <v>1499</v>
      </c>
      <c r="L193" s="22" t="s">
        <v>1500</v>
      </c>
      <c r="M193" s="22" t="s">
        <v>900</v>
      </c>
      <c r="N193" s="22" t="s">
        <v>1501</v>
      </c>
      <c r="O193" s="22" t="s">
        <v>1531</v>
      </c>
      <c r="P193" s="22" t="s">
        <v>1504</v>
      </c>
      <c r="Q193" s="22" t="s">
        <v>292</v>
      </c>
      <c r="R193" s="22" t="s">
        <v>292</v>
      </c>
      <c r="S193" s="9"/>
      <c r="T193" s="9"/>
      <c r="U193" s="9"/>
      <c r="V193" s="9"/>
      <c r="W193" s="9" t="str">
        <f t="shared" si="8"/>
        <v>20260715</v>
      </c>
      <c r="X193" s="22" t="s">
        <v>1641</v>
      </c>
      <c r="Y193" s="23"/>
      <c r="Z193" s="22">
        <v>1</v>
      </c>
      <c r="AA193" s="22">
        <v>300000</v>
      </c>
      <c r="AB193" s="22">
        <v>300000</v>
      </c>
      <c r="AC193" s="22">
        <v>30000</v>
      </c>
      <c r="AD193" s="9"/>
      <c r="AE193" s="9" t="str">
        <f t="shared" si="9"/>
        <v/>
      </c>
      <c r="AF193" s="23"/>
      <c r="AG193" s="23"/>
      <c r="AH193" s="23"/>
      <c r="AI193" s="23"/>
      <c r="AJ193" s="23"/>
      <c r="AK193" s="23"/>
      <c r="AL193" s="9"/>
      <c r="AM193" s="9" t="str">
        <f t="shared" si="10"/>
        <v/>
      </c>
      <c r="AN193" s="23"/>
      <c r="AO193" s="23"/>
      <c r="AP193" s="23"/>
      <c r="AQ193" s="23"/>
      <c r="AR193" s="23"/>
      <c r="AS193" s="23"/>
      <c r="AT193" s="9"/>
      <c r="AU193" s="9" t="str">
        <f t="shared" si="11"/>
        <v/>
      </c>
      <c r="AV193" s="23"/>
      <c r="AW193" s="23"/>
      <c r="AX193" s="23"/>
      <c r="AY193" s="23"/>
      <c r="AZ193" s="23"/>
      <c r="BA193" s="23"/>
      <c r="BB193" s="9"/>
    </row>
    <row r="194" spans="1:54" ht="81" x14ac:dyDescent="0.3">
      <c r="A194" s="8" t="s">
        <v>65</v>
      </c>
      <c r="B194" s="9" t="s">
        <v>66</v>
      </c>
      <c r="C194" s="22" t="s">
        <v>1618</v>
      </c>
      <c r="D194" s="9">
        <v>20260715</v>
      </c>
      <c r="E194" s="22">
        <v>306000</v>
      </c>
      <c r="F194" s="22">
        <v>30600</v>
      </c>
      <c r="G194" s="9">
        <v>336600</v>
      </c>
      <c r="H194" s="22" t="s">
        <v>176</v>
      </c>
      <c r="I194" s="8"/>
      <c r="J194" s="22" t="s">
        <v>1063</v>
      </c>
      <c r="K194" s="22" t="s">
        <v>1064</v>
      </c>
      <c r="L194" s="22" t="s">
        <v>1065</v>
      </c>
      <c r="M194" s="22" t="s">
        <v>479</v>
      </c>
      <c r="N194" s="22" t="s">
        <v>1066</v>
      </c>
      <c r="O194" s="22" t="s">
        <v>468</v>
      </c>
      <c r="P194" s="22" t="s">
        <v>471</v>
      </c>
      <c r="Q194" s="22" t="s">
        <v>469</v>
      </c>
      <c r="R194" s="22" t="s">
        <v>470</v>
      </c>
      <c r="S194" s="9"/>
      <c r="T194" s="9"/>
      <c r="U194" s="9"/>
      <c r="V194" s="9"/>
      <c r="W194" s="9" t="str">
        <f t="shared" si="8"/>
        <v>20260715</v>
      </c>
      <c r="X194" s="22" t="s">
        <v>1621</v>
      </c>
      <c r="Y194" s="23"/>
      <c r="Z194" s="22">
        <v>1</v>
      </c>
      <c r="AA194" s="22">
        <v>186000</v>
      </c>
      <c r="AB194" s="22">
        <v>186000</v>
      </c>
      <c r="AC194" s="22">
        <v>18600</v>
      </c>
      <c r="AD194" s="9"/>
      <c r="AE194" s="9" t="str">
        <f t="shared" si="9"/>
        <v>20260715</v>
      </c>
      <c r="AF194" s="22" t="s">
        <v>1634</v>
      </c>
      <c r="AG194" s="23"/>
      <c r="AH194" s="22">
        <v>1</v>
      </c>
      <c r="AI194" s="22">
        <v>120000</v>
      </c>
      <c r="AJ194" s="22">
        <v>120000</v>
      </c>
      <c r="AK194" s="22">
        <v>12000</v>
      </c>
      <c r="AL194" s="9"/>
      <c r="AM194" s="9" t="str">
        <f t="shared" si="10"/>
        <v/>
      </c>
      <c r="AN194" s="23"/>
      <c r="AO194" s="23"/>
      <c r="AP194" s="23"/>
      <c r="AQ194" s="23"/>
      <c r="AR194" s="23"/>
      <c r="AS194" s="23"/>
      <c r="AT194" s="9"/>
      <c r="AU194" s="9" t="str">
        <f t="shared" si="11"/>
        <v/>
      </c>
      <c r="AV194" s="23"/>
      <c r="AW194" s="23"/>
      <c r="AX194" s="23"/>
      <c r="AY194" s="23"/>
      <c r="AZ194" s="23"/>
      <c r="BA194" s="23"/>
      <c r="BB194" s="9"/>
    </row>
    <row r="195" spans="1:54" ht="40.5" x14ac:dyDescent="0.3">
      <c r="A195" s="8" t="s">
        <v>65</v>
      </c>
      <c r="B195" s="9" t="s">
        <v>66</v>
      </c>
      <c r="C195" s="22" t="s">
        <v>1618</v>
      </c>
      <c r="D195" s="9">
        <v>20260715</v>
      </c>
      <c r="E195" s="22">
        <v>30000</v>
      </c>
      <c r="F195" s="22">
        <v>3000</v>
      </c>
      <c r="G195" s="9">
        <v>33000</v>
      </c>
      <c r="H195" s="22" t="s">
        <v>241</v>
      </c>
      <c r="I195" s="8"/>
      <c r="J195" s="22" t="s">
        <v>1532</v>
      </c>
      <c r="K195" s="22" t="s">
        <v>1533</v>
      </c>
      <c r="L195" s="22" t="s">
        <v>1534</v>
      </c>
      <c r="M195" s="22" t="s">
        <v>358</v>
      </c>
      <c r="N195" s="22" t="s">
        <v>1535</v>
      </c>
      <c r="O195" s="22" t="s">
        <v>1536</v>
      </c>
      <c r="P195" s="22" t="s">
        <v>1538</v>
      </c>
      <c r="Q195" s="22" t="s">
        <v>1537</v>
      </c>
      <c r="R195" s="22" t="s">
        <v>292</v>
      </c>
      <c r="S195" s="9"/>
      <c r="T195" s="9"/>
      <c r="U195" s="9"/>
      <c r="V195" s="9"/>
      <c r="W195" s="9" t="str">
        <f t="shared" si="8"/>
        <v>20260715</v>
      </c>
      <c r="X195" s="22" t="s">
        <v>1624</v>
      </c>
      <c r="Y195" s="23"/>
      <c r="Z195" s="22">
        <v>1</v>
      </c>
      <c r="AA195" s="22">
        <v>30000</v>
      </c>
      <c r="AB195" s="22">
        <v>30000</v>
      </c>
      <c r="AC195" s="22">
        <v>3000</v>
      </c>
      <c r="AD195" s="9"/>
      <c r="AE195" s="9" t="str">
        <f t="shared" si="9"/>
        <v/>
      </c>
      <c r="AF195" s="23"/>
      <c r="AG195" s="23"/>
      <c r="AH195" s="23"/>
      <c r="AI195" s="23"/>
      <c r="AJ195" s="23"/>
      <c r="AK195" s="23"/>
      <c r="AL195" s="9"/>
      <c r="AM195" s="9" t="str">
        <f t="shared" si="10"/>
        <v/>
      </c>
      <c r="AN195" s="23"/>
      <c r="AO195" s="23"/>
      <c r="AP195" s="23"/>
      <c r="AQ195" s="23"/>
      <c r="AR195" s="23"/>
      <c r="AS195" s="23"/>
      <c r="AT195" s="9"/>
      <c r="AU195" s="9" t="str">
        <f t="shared" si="11"/>
        <v/>
      </c>
      <c r="AV195" s="23"/>
      <c r="AW195" s="23"/>
      <c r="AX195" s="23"/>
      <c r="AY195" s="23"/>
      <c r="AZ195" s="23"/>
      <c r="BA195" s="23"/>
      <c r="BB195" s="9"/>
    </row>
    <row r="196" spans="1:54" ht="81" x14ac:dyDescent="0.3">
      <c r="A196" s="8" t="s">
        <v>65</v>
      </c>
      <c r="B196" s="9" t="s">
        <v>66</v>
      </c>
      <c r="C196" s="22" t="s">
        <v>1618</v>
      </c>
      <c r="D196" s="9">
        <v>20260715</v>
      </c>
      <c r="E196" s="22">
        <v>120000</v>
      </c>
      <c r="F196" s="22">
        <v>12000</v>
      </c>
      <c r="G196" s="9">
        <v>132000</v>
      </c>
      <c r="H196" s="22" t="s">
        <v>242</v>
      </c>
      <c r="I196" s="8"/>
      <c r="J196" s="22" t="s">
        <v>1539</v>
      </c>
      <c r="K196" s="22" t="s">
        <v>1540</v>
      </c>
      <c r="L196" s="22" t="s">
        <v>1541</v>
      </c>
      <c r="M196" s="22" t="s">
        <v>1542</v>
      </c>
      <c r="N196" s="22" t="s">
        <v>1543</v>
      </c>
      <c r="O196" s="22" t="s">
        <v>1544</v>
      </c>
      <c r="P196" s="22" t="s">
        <v>1547</v>
      </c>
      <c r="Q196" s="22" t="s">
        <v>1545</v>
      </c>
      <c r="R196" s="22" t="s">
        <v>1546</v>
      </c>
      <c r="S196" s="9"/>
      <c r="T196" s="9"/>
      <c r="U196" s="9"/>
      <c r="V196" s="9"/>
      <c r="W196" s="9" t="str">
        <f t="shared" si="8"/>
        <v>20260715</v>
      </c>
      <c r="X196" s="22" t="s">
        <v>1624</v>
      </c>
      <c r="Y196" s="23"/>
      <c r="Z196" s="22">
        <v>1</v>
      </c>
      <c r="AA196" s="22">
        <v>120000</v>
      </c>
      <c r="AB196" s="22">
        <v>120000</v>
      </c>
      <c r="AC196" s="22">
        <v>12000</v>
      </c>
      <c r="AD196" s="9"/>
      <c r="AE196" s="9" t="str">
        <f t="shared" si="9"/>
        <v/>
      </c>
      <c r="AF196" s="23"/>
      <c r="AG196" s="23"/>
      <c r="AH196" s="23"/>
      <c r="AI196" s="23"/>
      <c r="AJ196" s="23"/>
      <c r="AK196" s="23"/>
      <c r="AL196" s="9"/>
      <c r="AM196" s="9" t="str">
        <f t="shared" si="10"/>
        <v/>
      </c>
      <c r="AN196" s="23"/>
      <c r="AO196" s="23"/>
      <c r="AP196" s="23"/>
      <c r="AQ196" s="23"/>
      <c r="AR196" s="23"/>
      <c r="AS196" s="23"/>
      <c r="AT196" s="9"/>
      <c r="AU196" s="9" t="str">
        <f t="shared" si="11"/>
        <v/>
      </c>
      <c r="AV196" s="23"/>
      <c r="AW196" s="23"/>
      <c r="AX196" s="23"/>
      <c r="AY196" s="23"/>
      <c r="AZ196" s="23"/>
      <c r="BA196" s="23"/>
      <c r="BB196" s="9"/>
    </row>
    <row r="197" spans="1:54" ht="40.5" x14ac:dyDescent="0.3">
      <c r="A197" s="8" t="s">
        <v>65</v>
      </c>
      <c r="B197" s="9" t="s">
        <v>66</v>
      </c>
      <c r="C197" s="22" t="s">
        <v>1618</v>
      </c>
      <c r="D197" s="9">
        <v>20260715</v>
      </c>
      <c r="E197" s="22">
        <v>228500</v>
      </c>
      <c r="F197" s="22">
        <v>22850</v>
      </c>
      <c r="G197" s="9">
        <v>251350</v>
      </c>
      <c r="H197" s="22" t="s">
        <v>243</v>
      </c>
      <c r="I197" s="8"/>
      <c r="J197" s="22" t="s">
        <v>1548</v>
      </c>
      <c r="K197" s="22" t="s">
        <v>1549</v>
      </c>
      <c r="L197" s="22" t="s">
        <v>1550</v>
      </c>
      <c r="M197" s="22" t="s">
        <v>273</v>
      </c>
      <c r="N197" s="22" t="s">
        <v>1386</v>
      </c>
      <c r="O197" s="22" t="s">
        <v>291</v>
      </c>
      <c r="P197" s="22" t="s">
        <v>1552</v>
      </c>
      <c r="Q197" s="22" t="s">
        <v>1551</v>
      </c>
      <c r="R197" s="22" t="s">
        <v>292</v>
      </c>
      <c r="S197" s="9"/>
      <c r="T197" s="9"/>
      <c r="U197" s="9"/>
      <c r="V197" s="9"/>
      <c r="W197" s="9" t="str">
        <f t="shared" ref="W197:W206" si="12">IF(X197&lt;&gt;"","20260715","")</f>
        <v>20260715</v>
      </c>
      <c r="X197" s="22" t="s">
        <v>1624</v>
      </c>
      <c r="Y197" s="23"/>
      <c r="Z197" s="22">
        <v>1</v>
      </c>
      <c r="AA197" s="22">
        <v>200000</v>
      </c>
      <c r="AB197" s="22">
        <v>200000</v>
      </c>
      <c r="AC197" s="22">
        <v>20000</v>
      </c>
      <c r="AD197" s="9"/>
      <c r="AE197" s="9" t="str">
        <f t="shared" ref="AE197:AE206" si="13">IF(AF197&lt;&gt;"","20260715","")</f>
        <v>20260715</v>
      </c>
      <c r="AF197" s="22" t="s">
        <v>1700</v>
      </c>
      <c r="AG197" s="23"/>
      <c r="AH197" s="22">
        <v>1</v>
      </c>
      <c r="AI197" s="22">
        <v>28500</v>
      </c>
      <c r="AJ197" s="22">
        <v>28500</v>
      </c>
      <c r="AK197" s="22">
        <v>2850</v>
      </c>
      <c r="AL197" s="9"/>
      <c r="AM197" s="9" t="str">
        <f t="shared" ref="AM197:AM206" si="14">IF(AN197&lt;&gt;"","20260715","")</f>
        <v/>
      </c>
      <c r="AN197" s="23"/>
      <c r="AO197" s="23"/>
      <c r="AP197" s="23"/>
      <c r="AQ197" s="23"/>
      <c r="AR197" s="23"/>
      <c r="AS197" s="23"/>
      <c r="AT197" s="9"/>
      <c r="AU197" s="9" t="str">
        <f t="shared" ref="AU197:AU206" si="15">IF(AV197&lt;&gt;"","20260715","")</f>
        <v/>
      </c>
      <c r="AV197" s="23"/>
      <c r="AW197" s="23"/>
      <c r="AX197" s="23"/>
      <c r="AY197" s="23"/>
      <c r="AZ197" s="23"/>
      <c r="BA197" s="23"/>
      <c r="BB197" s="9"/>
    </row>
    <row r="198" spans="1:54" ht="54" x14ac:dyDescent="0.3">
      <c r="A198" s="8" t="s">
        <v>65</v>
      </c>
      <c r="B198" s="9" t="s">
        <v>66</v>
      </c>
      <c r="C198" s="22" t="s">
        <v>1618</v>
      </c>
      <c r="D198" s="9">
        <v>20260715</v>
      </c>
      <c r="E198" s="22">
        <v>228000</v>
      </c>
      <c r="F198" s="22">
        <v>22800</v>
      </c>
      <c r="G198" s="9">
        <v>250800</v>
      </c>
      <c r="H198" s="22" t="s">
        <v>244</v>
      </c>
      <c r="I198" s="8"/>
      <c r="J198" s="22" t="s">
        <v>1553</v>
      </c>
      <c r="K198" s="22" t="s">
        <v>1554</v>
      </c>
      <c r="L198" s="22" t="s">
        <v>1555</v>
      </c>
      <c r="M198" s="22" t="s">
        <v>589</v>
      </c>
      <c r="N198" s="22" t="s">
        <v>772</v>
      </c>
      <c r="O198" s="22" t="s">
        <v>291</v>
      </c>
      <c r="P198" s="22" t="s">
        <v>1557</v>
      </c>
      <c r="Q198" s="22" t="s">
        <v>1556</v>
      </c>
      <c r="R198" s="22" t="s">
        <v>292</v>
      </c>
      <c r="S198" s="9"/>
      <c r="T198" s="9"/>
      <c r="U198" s="9"/>
      <c r="V198" s="9"/>
      <c r="W198" s="9" t="str">
        <f t="shared" si="12"/>
        <v>20260715</v>
      </c>
      <c r="X198" s="22" t="s">
        <v>1624</v>
      </c>
      <c r="Y198" s="23"/>
      <c r="Z198" s="22">
        <v>1</v>
      </c>
      <c r="AA198" s="22">
        <v>228000</v>
      </c>
      <c r="AB198" s="22">
        <v>228000</v>
      </c>
      <c r="AC198" s="22">
        <v>22800</v>
      </c>
      <c r="AD198" s="9"/>
      <c r="AE198" s="9" t="str">
        <f t="shared" si="13"/>
        <v/>
      </c>
      <c r="AF198" s="23"/>
      <c r="AG198" s="23"/>
      <c r="AH198" s="23"/>
      <c r="AI198" s="23"/>
      <c r="AJ198" s="23"/>
      <c r="AK198" s="23"/>
      <c r="AL198" s="9"/>
      <c r="AM198" s="9" t="str">
        <f t="shared" si="14"/>
        <v/>
      </c>
      <c r="AN198" s="23"/>
      <c r="AO198" s="23"/>
      <c r="AP198" s="23"/>
      <c r="AQ198" s="23"/>
      <c r="AR198" s="23"/>
      <c r="AS198" s="23"/>
      <c r="AT198" s="9"/>
      <c r="AU198" s="9" t="str">
        <f t="shared" si="15"/>
        <v/>
      </c>
      <c r="AV198" s="23"/>
      <c r="AW198" s="23"/>
      <c r="AX198" s="23"/>
      <c r="AY198" s="23"/>
      <c r="AZ198" s="23"/>
      <c r="BA198" s="23"/>
      <c r="BB198" s="9"/>
    </row>
    <row r="199" spans="1:54" ht="81" x14ac:dyDescent="0.3">
      <c r="A199" s="8" t="s">
        <v>65</v>
      </c>
      <c r="B199" s="9" t="s">
        <v>66</v>
      </c>
      <c r="C199" s="22" t="s">
        <v>1618</v>
      </c>
      <c r="D199" s="9">
        <v>20260715</v>
      </c>
      <c r="E199" s="22">
        <v>120000</v>
      </c>
      <c r="F199" s="22">
        <v>12000</v>
      </c>
      <c r="G199" s="9">
        <v>132000</v>
      </c>
      <c r="H199" s="22" t="s">
        <v>245</v>
      </c>
      <c r="I199" s="8"/>
      <c r="J199" s="22" t="s">
        <v>1558</v>
      </c>
      <c r="K199" s="22" t="s">
        <v>1559</v>
      </c>
      <c r="L199" s="22" t="s">
        <v>1560</v>
      </c>
      <c r="M199" s="22" t="s">
        <v>1561</v>
      </c>
      <c r="N199" s="22" t="s">
        <v>1562</v>
      </c>
      <c r="O199" s="22" t="s">
        <v>1563</v>
      </c>
      <c r="P199" s="22" t="s">
        <v>1566</v>
      </c>
      <c r="Q199" s="22" t="s">
        <v>1564</v>
      </c>
      <c r="R199" s="22" t="s">
        <v>1565</v>
      </c>
      <c r="S199" s="9"/>
      <c r="T199" s="9"/>
      <c r="U199" s="9"/>
      <c r="V199" s="9"/>
      <c r="W199" s="9" t="str">
        <f t="shared" si="12"/>
        <v>20260715</v>
      </c>
      <c r="X199" s="22" t="s">
        <v>1681</v>
      </c>
      <c r="Y199" s="23"/>
      <c r="Z199" s="22">
        <v>1</v>
      </c>
      <c r="AA199" s="22">
        <v>120000</v>
      </c>
      <c r="AB199" s="22">
        <v>120000</v>
      </c>
      <c r="AC199" s="22">
        <v>12000</v>
      </c>
      <c r="AD199" s="9"/>
      <c r="AE199" s="9" t="str">
        <f t="shared" si="13"/>
        <v/>
      </c>
      <c r="AF199" s="23"/>
      <c r="AG199" s="23"/>
      <c r="AH199" s="23"/>
      <c r="AI199" s="23"/>
      <c r="AJ199" s="23"/>
      <c r="AK199" s="23"/>
      <c r="AL199" s="9"/>
      <c r="AM199" s="9" t="str">
        <f t="shared" si="14"/>
        <v/>
      </c>
      <c r="AN199" s="23"/>
      <c r="AO199" s="23"/>
      <c r="AP199" s="23"/>
      <c r="AQ199" s="23"/>
      <c r="AR199" s="23"/>
      <c r="AS199" s="23"/>
      <c r="AT199" s="9"/>
      <c r="AU199" s="9" t="str">
        <f t="shared" si="15"/>
        <v/>
      </c>
      <c r="AV199" s="23"/>
      <c r="AW199" s="23"/>
      <c r="AX199" s="23"/>
      <c r="AY199" s="23"/>
      <c r="AZ199" s="23"/>
      <c r="BA199" s="23"/>
      <c r="BB199" s="9"/>
    </row>
    <row r="200" spans="1:54" ht="67.5" x14ac:dyDescent="0.3">
      <c r="A200" s="8" t="s">
        <v>65</v>
      </c>
      <c r="B200" s="9" t="s">
        <v>66</v>
      </c>
      <c r="C200" s="22" t="s">
        <v>1618</v>
      </c>
      <c r="D200" s="9">
        <v>20260715</v>
      </c>
      <c r="E200" s="22">
        <v>80300</v>
      </c>
      <c r="F200" s="22">
        <v>8030</v>
      </c>
      <c r="G200" s="9">
        <v>88330</v>
      </c>
      <c r="H200" s="22" t="s">
        <v>246</v>
      </c>
      <c r="I200" s="8"/>
      <c r="J200" s="22" t="s">
        <v>1567</v>
      </c>
      <c r="K200" s="22" t="s">
        <v>1568</v>
      </c>
      <c r="L200" s="22" t="s">
        <v>1569</v>
      </c>
      <c r="M200" s="22" t="s">
        <v>1044</v>
      </c>
      <c r="N200" s="22" t="s">
        <v>1570</v>
      </c>
      <c r="O200" s="22" t="s">
        <v>1571</v>
      </c>
      <c r="P200" s="22" t="s">
        <v>1573</v>
      </c>
      <c r="Q200" s="22" t="s">
        <v>1572</v>
      </c>
      <c r="R200" s="22" t="s">
        <v>292</v>
      </c>
      <c r="S200" s="9"/>
      <c r="T200" s="9"/>
      <c r="U200" s="9"/>
      <c r="V200" s="9"/>
      <c r="W200" s="9" t="str">
        <f t="shared" si="12"/>
        <v>20260715</v>
      </c>
      <c r="X200" s="22" t="s">
        <v>1677</v>
      </c>
      <c r="Y200" s="23"/>
      <c r="Z200" s="22">
        <v>1</v>
      </c>
      <c r="AA200" s="22">
        <v>80300</v>
      </c>
      <c r="AB200" s="22">
        <v>80300</v>
      </c>
      <c r="AC200" s="22">
        <v>8030</v>
      </c>
      <c r="AD200" s="9"/>
      <c r="AE200" s="9" t="str">
        <f t="shared" si="13"/>
        <v/>
      </c>
      <c r="AF200" s="23"/>
      <c r="AG200" s="23"/>
      <c r="AH200" s="23"/>
      <c r="AI200" s="23"/>
      <c r="AJ200" s="23"/>
      <c r="AK200" s="23"/>
      <c r="AL200" s="9"/>
      <c r="AM200" s="9" t="str">
        <f t="shared" si="14"/>
        <v/>
      </c>
      <c r="AN200" s="23"/>
      <c r="AO200" s="23"/>
      <c r="AP200" s="23"/>
      <c r="AQ200" s="23"/>
      <c r="AR200" s="23"/>
      <c r="AS200" s="23"/>
      <c r="AT200" s="9"/>
      <c r="AU200" s="9" t="str">
        <f t="shared" si="15"/>
        <v/>
      </c>
      <c r="AV200" s="23"/>
      <c r="AW200" s="23"/>
      <c r="AX200" s="23"/>
      <c r="AY200" s="23"/>
      <c r="AZ200" s="23"/>
      <c r="BA200" s="23"/>
      <c r="BB200" s="9"/>
    </row>
    <row r="201" spans="1:54" ht="81" x14ac:dyDescent="0.3">
      <c r="A201" s="8" t="s">
        <v>65</v>
      </c>
      <c r="B201" s="9" t="s">
        <v>66</v>
      </c>
      <c r="C201" s="22" t="s">
        <v>1618</v>
      </c>
      <c r="D201" s="9">
        <v>20260715</v>
      </c>
      <c r="E201" s="22">
        <v>119000</v>
      </c>
      <c r="F201" s="22">
        <v>11900</v>
      </c>
      <c r="G201" s="9">
        <v>130900</v>
      </c>
      <c r="H201" s="22" t="s">
        <v>247</v>
      </c>
      <c r="I201" s="8"/>
      <c r="J201" s="22" t="s">
        <v>1574</v>
      </c>
      <c r="K201" s="22" t="s">
        <v>1575</v>
      </c>
      <c r="L201" s="22" t="s">
        <v>1576</v>
      </c>
      <c r="M201" s="22" t="s">
        <v>1577</v>
      </c>
      <c r="N201" s="22" t="s">
        <v>1578</v>
      </c>
      <c r="O201" s="22" t="s">
        <v>1575</v>
      </c>
      <c r="P201" s="22" t="s">
        <v>1580</v>
      </c>
      <c r="Q201" s="22" t="s">
        <v>259</v>
      </c>
      <c r="R201" s="22" t="s">
        <v>1579</v>
      </c>
      <c r="S201" s="9"/>
      <c r="T201" s="9"/>
      <c r="U201" s="9"/>
      <c r="V201" s="9"/>
      <c r="W201" s="9" t="str">
        <f t="shared" si="12"/>
        <v>20260715</v>
      </c>
      <c r="X201" s="22" t="s">
        <v>1626</v>
      </c>
      <c r="Y201" s="23"/>
      <c r="Z201" s="22">
        <v>1</v>
      </c>
      <c r="AA201" s="22">
        <v>119000</v>
      </c>
      <c r="AB201" s="22">
        <v>119000</v>
      </c>
      <c r="AC201" s="22">
        <v>11900</v>
      </c>
      <c r="AD201" s="9"/>
      <c r="AE201" s="9" t="str">
        <f t="shared" si="13"/>
        <v/>
      </c>
      <c r="AF201" s="23"/>
      <c r="AG201" s="23"/>
      <c r="AH201" s="23"/>
      <c r="AI201" s="23"/>
      <c r="AJ201" s="23"/>
      <c r="AK201" s="23"/>
      <c r="AL201" s="9"/>
      <c r="AM201" s="9" t="str">
        <f t="shared" si="14"/>
        <v/>
      </c>
      <c r="AN201" s="23"/>
      <c r="AO201" s="23"/>
      <c r="AP201" s="23"/>
      <c r="AQ201" s="23"/>
      <c r="AR201" s="23"/>
      <c r="AS201" s="23"/>
      <c r="AT201" s="9"/>
      <c r="AU201" s="9" t="str">
        <f t="shared" si="15"/>
        <v/>
      </c>
      <c r="AV201" s="23"/>
      <c r="AW201" s="23"/>
      <c r="AX201" s="23"/>
      <c r="AY201" s="23"/>
      <c r="AZ201" s="23"/>
      <c r="BA201" s="23"/>
      <c r="BB201" s="9"/>
    </row>
    <row r="202" spans="1:54" ht="54" x14ac:dyDescent="0.3">
      <c r="A202" s="8" t="s">
        <v>65</v>
      </c>
      <c r="B202" s="9" t="s">
        <v>66</v>
      </c>
      <c r="C202" s="22" t="s">
        <v>1618</v>
      </c>
      <c r="D202" s="9">
        <v>20260715</v>
      </c>
      <c r="E202" s="22">
        <v>300000</v>
      </c>
      <c r="F202" s="22">
        <v>30000</v>
      </c>
      <c r="G202" s="9">
        <v>330000</v>
      </c>
      <c r="H202" s="22" t="s">
        <v>248</v>
      </c>
      <c r="I202" s="8"/>
      <c r="J202" s="22" t="s">
        <v>1581</v>
      </c>
      <c r="K202" s="22" t="s">
        <v>1582</v>
      </c>
      <c r="L202" s="22" t="s">
        <v>1583</v>
      </c>
      <c r="M202" s="22" t="s">
        <v>1307</v>
      </c>
      <c r="N202" s="22" t="s">
        <v>1584</v>
      </c>
      <c r="O202" s="22" t="s">
        <v>1585</v>
      </c>
      <c r="P202" s="22" t="s">
        <v>1588</v>
      </c>
      <c r="Q202" s="22" t="s">
        <v>1586</v>
      </c>
      <c r="R202" s="22" t="s">
        <v>1587</v>
      </c>
      <c r="S202" s="9"/>
      <c r="T202" s="9"/>
      <c r="U202" s="9"/>
      <c r="V202" s="9"/>
      <c r="W202" s="9" t="str">
        <f t="shared" si="12"/>
        <v>20260715</v>
      </c>
      <c r="X202" s="22" t="s">
        <v>1633</v>
      </c>
      <c r="Y202" s="23"/>
      <c r="Z202" s="22">
        <v>1</v>
      </c>
      <c r="AA202" s="22">
        <v>300000</v>
      </c>
      <c r="AB202" s="22">
        <v>300000</v>
      </c>
      <c r="AC202" s="22">
        <v>30000</v>
      </c>
      <c r="AD202" s="9"/>
      <c r="AE202" s="9" t="str">
        <f t="shared" si="13"/>
        <v/>
      </c>
      <c r="AF202" s="23"/>
      <c r="AG202" s="23"/>
      <c r="AH202" s="23"/>
      <c r="AI202" s="23"/>
      <c r="AJ202" s="23"/>
      <c r="AK202" s="23"/>
      <c r="AL202" s="9"/>
      <c r="AM202" s="9" t="str">
        <f t="shared" si="14"/>
        <v/>
      </c>
      <c r="AN202" s="23"/>
      <c r="AO202" s="23"/>
      <c r="AP202" s="23"/>
      <c r="AQ202" s="23"/>
      <c r="AR202" s="23"/>
      <c r="AS202" s="23"/>
      <c r="AT202" s="9"/>
      <c r="AU202" s="9" t="str">
        <f t="shared" si="15"/>
        <v/>
      </c>
      <c r="AV202" s="23"/>
      <c r="AW202" s="23"/>
      <c r="AX202" s="23"/>
      <c r="AY202" s="23"/>
      <c r="AZ202" s="23"/>
      <c r="BA202" s="23"/>
      <c r="BB202" s="9"/>
    </row>
    <row r="203" spans="1:54" ht="40.5" x14ac:dyDescent="0.3">
      <c r="A203" s="8" t="s">
        <v>65</v>
      </c>
      <c r="B203" s="9" t="s">
        <v>66</v>
      </c>
      <c r="C203" s="22" t="s">
        <v>1618</v>
      </c>
      <c r="D203" s="9">
        <v>20260715</v>
      </c>
      <c r="E203" s="22">
        <v>30000</v>
      </c>
      <c r="F203" s="22">
        <v>3000</v>
      </c>
      <c r="G203" s="9">
        <v>33000</v>
      </c>
      <c r="H203" s="22" t="s">
        <v>249</v>
      </c>
      <c r="I203" s="8"/>
      <c r="J203" s="22" t="s">
        <v>1589</v>
      </c>
      <c r="K203" s="22" t="s">
        <v>1590</v>
      </c>
      <c r="L203" s="22" t="s">
        <v>1591</v>
      </c>
      <c r="M203" s="22" t="s">
        <v>297</v>
      </c>
      <c r="N203" s="22" t="s">
        <v>1592</v>
      </c>
      <c r="O203" s="22" t="s">
        <v>1593</v>
      </c>
      <c r="P203" s="22" t="s">
        <v>1595</v>
      </c>
      <c r="Q203" s="22" t="s">
        <v>1594</v>
      </c>
      <c r="R203" s="22" t="s">
        <v>292</v>
      </c>
      <c r="S203" s="9"/>
      <c r="T203" s="9"/>
      <c r="U203" s="9"/>
      <c r="V203" s="9"/>
      <c r="W203" s="9" t="str">
        <f t="shared" si="12"/>
        <v>20260715</v>
      </c>
      <c r="X203" s="22" t="s">
        <v>1624</v>
      </c>
      <c r="Y203" s="23"/>
      <c r="Z203" s="22">
        <v>1</v>
      </c>
      <c r="AA203" s="22">
        <v>30000</v>
      </c>
      <c r="AB203" s="22">
        <v>30000</v>
      </c>
      <c r="AC203" s="22">
        <v>3000</v>
      </c>
      <c r="AD203" s="9"/>
      <c r="AE203" s="9" t="str">
        <f t="shared" si="13"/>
        <v/>
      </c>
      <c r="AF203" s="23"/>
      <c r="AG203" s="23"/>
      <c r="AH203" s="23"/>
      <c r="AI203" s="23"/>
      <c r="AJ203" s="23"/>
      <c r="AK203" s="23"/>
      <c r="AL203" s="9"/>
      <c r="AM203" s="9" t="str">
        <f t="shared" si="14"/>
        <v/>
      </c>
      <c r="AN203" s="23"/>
      <c r="AO203" s="23"/>
      <c r="AP203" s="23"/>
      <c r="AQ203" s="23"/>
      <c r="AR203" s="23"/>
      <c r="AS203" s="23"/>
      <c r="AT203" s="9"/>
      <c r="AU203" s="9" t="str">
        <f t="shared" si="15"/>
        <v/>
      </c>
      <c r="AV203" s="23"/>
      <c r="AW203" s="23"/>
      <c r="AX203" s="23"/>
      <c r="AY203" s="23"/>
      <c r="AZ203" s="23"/>
      <c r="BA203" s="23"/>
      <c r="BB203" s="9"/>
    </row>
    <row r="204" spans="1:54" ht="67.5" x14ac:dyDescent="0.3">
      <c r="A204" s="8" t="s">
        <v>65</v>
      </c>
      <c r="B204" s="9" t="s">
        <v>66</v>
      </c>
      <c r="C204" s="22" t="s">
        <v>1618</v>
      </c>
      <c r="D204" s="9">
        <v>20260715</v>
      </c>
      <c r="E204" s="22">
        <v>449000</v>
      </c>
      <c r="F204" s="22">
        <v>44900</v>
      </c>
      <c r="G204" s="9">
        <v>493900</v>
      </c>
      <c r="H204" s="22" t="s">
        <v>250</v>
      </c>
      <c r="I204" s="8"/>
      <c r="J204" s="22" t="s">
        <v>1596</v>
      </c>
      <c r="K204" s="22" t="s">
        <v>1597</v>
      </c>
      <c r="L204" s="22" t="s">
        <v>1598</v>
      </c>
      <c r="M204" s="22" t="s">
        <v>273</v>
      </c>
      <c r="N204" s="22" t="s">
        <v>1599</v>
      </c>
      <c r="O204" s="22" t="s">
        <v>1600</v>
      </c>
      <c r="P204" s="22" t="s">
        <v>1603</v>
      </c>
      <c r="Q204" s="22" t="s">
        <v>1601</v>
      </c>
      <c r="R204" s="22" t="s">
        <v>1602</v>
      </c>
      <c r="S204" s="9"/>
      <c r="T204" s="9"/>
      <c r="U204" s="9"/>
      <c r="V204" s="9"/>
      <c r="W204" s="9" t="str">
        <f t="shared" si="12"/>
        <v>20260715</v>
      </c>
      <c r="X204" s="22" t="s">
        <v>1624</v>
      </c>
      <c r="Y204" s="23"/>
      <c r="Z204" s="22">
        <v>1</v>
      </c>
      <c r="AA204" s="22">
        <v>260000</v>
      </c>
      <c r="AB204" s="22">
        <v>260000</v>
      </c>
      <c r="AC204" s="22">
        <v>26000</v>
      </c>
      <c r="AD204" s="9"/>
      <c r="AE204" s="9" t="str">
        <f t="shared" si="13"/>
        <v>20260715</v>
      </c>
      <c r="AF204" s="22" t="s">
        <v>1629</v>
      </c>
      <c r="AG204" s="23"/>
      <c r="AH204" s="22">
        <v>1</v>
      </c>
      <c r="AI204" s="22">
        <v>189000</v>
      </c>
      <c r="AJ204" s="22">
        <v>189000</v>
      </c>
      <c r="AK204" s="22">
        <v>18900</v>
      </c>
      <c r="AL204" s="9"/>
      <c r="AM204" s="9" t="str">
        <f t="shared" si="14"/>
        <v/>
      </c>
      <c r="AN204" s="23"/>
      <c r="AO204" s="23"/>
      <c r="AP204" s="23"/>
      <c r="AQ204" s="23"/>
      <c r="AR204" s="23"/>
      <c r="AS204" s="23"/>
      <c r="AT204" s="9"/>
      <c r="AU204" s="9" t="str">
        <f t="shared" si="15"/>
        <v/>
      </c>
      <c r="AV204" s="23"/>
      <c r="AW204" s="23"/>
      <c r="AX204" s="23"/>
      <c r="AY204" s="23"/>
      <c r="AZ204" s="23"/>
      <c r="BA204" s="23"/>
      <c r="BB204" s="9"/>
    </row>
    <row r="205" spans="1:54" ht="67.5" x14ac:dyDescent="0.3">
      <c r="A205" s="8" t="s">
        <v>65</v>
      </c>
      <c r="B205" s="9" t="s">
        <v>66</v>
      </c>
      <c r="C205" s="22" t="s">
        <v>1618</v>
      </c>
      <c r="D205" s="9">
        <v>20260715</v>
      </c>
      <c r="E205" s="22">
        <v>120000</v>
      </c>
      <c r="F205" s="22">
        <v>12000</v>
      </c>
      <c r="G205" s="9">
        <v>132000</v>
      </c>
      <c r="H205" s="22" t="s">
        <v>251</v>
      </c>
      <c r="I205" s="8"/>
      <c r="J205" s="22" t="s">
        <v>1604</v>
      </c>
      <c r="K205" s="22" t="s">
        <v>1605</v>
      </c>
      <c r="L205" s="22" t="s">
        <v>1606</v>
      </c>
      <c r="M205" s="22" t="s">
        <v>1607</v>
      </c>
      <c r="N205" s="22" t="s">
        <v>1570</v>
      </c>
      <c r="O205" s="22" t="s">
        <v>1605</v>
      </c>
      <c r="P205" s="22" t="s">
        <v>1609</v>
      </c>
      <c r="Q205" s="22" t="s">
        <v>259</v>
      </c>
      <c r="R205" s="22" t="s">
        <v>1608</v>
      </c>
      <c r="S205" s="9"/>
      <c r="T205" s="9"/>
      <c r="U205" s="9"/>
      <c r="V205" s="9"/>
      <c r="W205" s="9" t="str">
        <f t="shared" si="12"/>
        <v>20260715</v>
      </c>
      <c r="X205" s="22" t="s">
        <v>1677</v>
      </c>
      <c r="Y205" s="23"/>
      <c r="Z205" s="22">
        <v>1</v>
      </c>
      <c r="AA205" s="22">
        <v>120000</v>
      </c>
      <c r="AB205" s="22">
        <v>120000</v>
      </c>
      <c r="AC205" s="22">
        <v>12000</v>
      </c>
      <c r="AD205" s="9"/>
      <c r="AE205" s="9" t="str">
        <f t="shared" si="13"/>
        <v/>
      </c>
      <c r="AF205" s="23"/>
      <c r="AG205" s="23"/>
      <c r="AH205" s="23"/>
      <c r="AI205" s="23"/>
      <c r="AJ205" s="23"/>
      <c r="AK205" s="23"/>
      <c r="AL205" s="9"/>
      <c r="AM205" s="9" t="str">
        <f t="shared" si="14"/>
        <v/>
      </c>
      <c r="AN205" s="23"/>
      <c r="AO205" s="23"/>
      <c r="AP205" s="23"/>
      <c r="AQ205" s="23"/>
      <c r="AR205" s="23"/>
      <c r="AS205" s="23"/>
      <c r="AT205" s="9"/>
      <c r="AU205" s="9" t="str">
        <f t="shared" si="15"/>
        <v/>
      </c>
      <c r="AV205" s="23"/>
      <c r="AW205" s="23"/>
      <c r="AX205" s="23"/>
      <c r="AY205" s="23"/>
      <c r="AZ205" s="23"/>
      <c r="BA205" s="23"/>
      <c r="BB205" s="9"/>
    </row>
    <row r="206" spans="1:54" ht="67.5" x14ac:dyDescent="0.3">
      <c r="A206" s="8" t="s">
        <v>65</v>
      </c>
      <c r="B206" s="9" t="s">
        <v>66</v>
      </c>
      <c r="C206" s="22" t="s">
        <v>1618</v>
      </c>
      <c r="D206" s="9">
        <v>20260715</v>
      </c>
      <c r="E206" s="22">
        <v>640000</v>
      </c>
      <c r="F206" s="22">
        <v>64000</v>
      </c>
      <c r="G206" s="9">
        <v>704000</v>
      </c>
      <c r="H206" s="22" t="s">
        <v>252</v>
      </c>
      <c r="I206" s="8"/>
      <c r="J206" s="22" t="s">
        <v>1610</v>
      </c>
      <c r="K206" s="22" t="s">
        <v>1611</v>
      </c>
      <c r="L206" s="22" t="s">
        <v>1612</v>
      </c>
      <c r="M206" s="22" t="s">
        <v>273</v>
      </c>
      <c r="N206" s="22" t="s">
        <v>1613</v>
      </c>
      <c r="O206" s="22" t="s">
        <v>1614</v>
      </c>
      <c r="P206" s="22" t="s">
        <v>1617</v>
      </c>
      <c r="Q206" s="22" t="s">
        <v>1615</v>
      </c>
      <c r="R206" s="22" t="s">
        <v>1616</v>
      </c>
      <c r="S206" s="9"/>
      <c r="T206" s="9"/>
      <c r="U206" s="9"/>
      <c r="V206" s="9"/>
      <c r="W206" s="9" t="str">
        <f t="shared" si="12"/>
        <v>20260715</v>
      </c>
      <c r="X206" s="22" t="s">
        <v>1635</v>
      </c>
      <c r="Y206" s="23"/>
      <c r="Z206" s="22">
        <v>1</v>
      </c>
      <c r="AA206" s="22">
        <v>400000</v>
      </c>
      <c r="AB206" s="22">
        <v>400000</v>
      </c>
      <c r="AC206" s="22">
        <v>40000</v>
      </c>
      <c r="AD206" s="9"/>
      <c r="AE206" s="9" t="str">
        <f t="shared" si="13"/>
        <v>20260715</v>
      </c>
      <c r="AF206" s="22" t="s">
        <v>1634</v>
      </c>
      <c r="AG206" s="23"/>
      <c r="AH206" s="22">
        <v>1</v>
      </c>
      <c r="AI206" s="22">
        <v>240000</v>
      </c>
      <c r="AJ206" s="22">
        <v>240000</v>
      </c>
      <c r="AK206" s="22">
        <v>24000</v>
      </c>
      <c r="AL206" s="9"/>
      <c r="AM206" s="9" t="str">
        <f t="shared" si="14"/>
        <v/>
      </c>
      <c r="AN206" s="23"/>
      <c r="AO206" s="23"/>
      <c r="AP206" s="23"/>
      <c r="AQ206" s="23"/>
      <c r="AR206" s="23"/>
      <c r="AS206" s="23"/>
      <c r="AT206" s="9"/>
      <c r="AU206" s="9" t="str">
        <f t="shared" si="15"/>
        <v/>
      </c>
      <c r="AV206" s="23"/>
      <c r="AW206" s="23"/>
      <c r="AX206" s="23"/>
      <c r="AY206" s="23"/>
      <c r="AZ206" s="23"/>
      <c r="BA206" s="23"/>
      <c r="BB206" s="9"/>
    </row>
  </sheetData>
  <mergeCells count="17">
    <mergeCell ref="F2:F3"/>
    <mergeCell ref="A2:A3"/>
    <mergeCell ref="B2:B3"/>
    <mergeCell ref="C2:C3"/>
    <mergeCell ref="D2:D3"/>
    <mergeCell ref="E2:E3"/>
    <mergeCell ref="BI2:BI3"/>
    <mergeCell ref="BJ2:BJ3"/>
    <mergeCell ref="G2:G3"/>
    <mergeCell ref="H2:V2"/>
    <mergeCell ref="W2:BB2"/>
    <mergeCell ref="BC2:BC3"/>
    <mergeCell ref="BD2:BD3"/>
    <mergeCell ref="BH2:BH3"/>
    <mergeCell ref="BE2:BE3"/>
    <mergeCell ref="BF2:BF3"/>
    <mergeCell ref="BG2:BG3"/>
  </mergeCells>
  <phoneticPr fontId="2" type="noConversion"/>
  <dataValidations count="3">
    <dataValidation type="list" allowBlank="1" showInputMessage="1" showErrorMessage="1" promptTitle="영수/청구" prompt="영수/청구를 선택하세요." sqref="C2:C65535" xr:uid="{00000000-0002-0000-0000-000000000000}">
      <formula1>"영수, 청구"</formula1>
    </dataValidation>
    <dataValidation type="list" allowBlank="1" showInputMessage="1" showErrorMessage="1" promptTitle="사업자 구분" prompt="사업자 구분을 선택하세요. (사업자, 개인, 외국인)" sqref="B2:B65535" xr:uid="{00000000-0002-0000-0000-000001000000}">
      <formula1>"사업자, 개인, 외국인"</formula1>
    </dataValidation>
    <dataValidation type="list" allowBlank="1" showInputMessage="1" showErrorMessage="1" promptTitle="과세타입" prompt="과세타입을 선택하세요. (과세, 영세, 면세)" sqref="A2:A65535" xr:uid="{00000000-0002-0000-0000-000002000000}">
      <formula1>"과세, 영세, 면세"</formula1>
    </dataValidation>
  </dataValidations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정발행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</dc:creator>
  <cp:lastModifiedBy>은혜 권</cp:lastModifiedBy>
  <dcterms:created xsi:type="dcterms:W3CDTF">2025-03-05T04:27:21Z</dcterms:created>
  <dcterms:modified xsi:type="dcterms:W3CDTF">2026-07-13T05:11:40Z</dcterms:modified>
</cp:coreProperties>
</file>